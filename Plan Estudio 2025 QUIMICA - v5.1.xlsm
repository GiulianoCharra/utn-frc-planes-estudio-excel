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AABF7F0A-C2D7-4FD9-85CC-435690A9C3DA}" xr6:coauthVersionLast="47" xr6:coauthVersionMax="47" xr10:uidLastSave="{00000000-0000-0000-0000-000000000000}"/>
  <workbookProtection workbookAlgorithmName="SHA-512" workbookHashValue="JOB7UdbE2uJtGCUxhpMk7cCwc79TtIDWJ0QhL14IYJqzeULnsIF/hL+2/4VamNKlJx6c4uTUPoJewXSNYJkhSQ==" workbookSaltValue="5Quge9TPD/MMBMkIxzIgyg==" workbookSpinCount="100000" lockStructure="1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Estudio'!$T$4</definedName>
    <definedName name="_cmb_lista_materias">Control!$M$135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apr_5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g_5" hidden="1" xlm="1">#NAME?</definedName>
    <definedName name="_xlpm.reg_6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2" localSheetId="1" hidden="1">Control!#REF!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" l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S54" i="1" l="1"/>
  <c r="M60" i="1"/>
  <c r="H9" i="1"/>
  <c r="V62" i="1"/>
  <c r="U62" i="1"/>
  <c r="T62" i="1"/>
  <c r="S62" i="1"/>
  <c r="R62" i="1"/>
  <c r="Q62" i="1"/>
  <c r="P62" i="1"/>
  <c r="V61" i="1"/>
  <c r="U61" i="1"/>
  <c r="T61" i="1"/>
  <c r="S61" i="1"/>
  <c r="R61" i="1"/>
  <c r="Q61" i="1"/>
  <c r="P61" i="1"/>
  <c r="V60" i="1"/>
  <c r="U60" i="1"/>
  <c r="T60" i="1"/>
  <c r="S60" i="1"/>
  <c r="R60" i="1"/>
  <c r="Q60" i="1"/>
  <c r="P60" i="1"/>
  <c r="V59" i="1"/>
  <c r="U59" i="1"/>
  <c r="T59" i="1"/>
  <c r="S59" i="1"/>
  <c r="R59" i="1"/>
  <c r="Q59" i="1"/>
  <c r="P59" i="1"/>
  <c r="V58" i="1"/>
  <c r="U58" i="1"/>
  <c r="T58" i="1"/>
  <c r="S58" i="1"/>
  <c r="R58" i="1"/>
  <c r="Q58" i="1"/>
  <c r="P58" i="1"/>
  <c r="V57" i="1"/>
  <c r="U57" i="1"/>
  <c r="T57" i="1"/>
  <c r="S57" i="1"/>
  <c r="R57" i="1"/>
  <c r="Q57" i="1"/>
  <c r="P57" i="1"/>
  <c r="V56" i="1"/>
  <c r="U56" i="1"/>
  <c r="T56" i="1"/>
  <c r="S56" i="1"/>
  <c r="R56" i="1"/>
  <c r="Q56" i="1"/>
  <c r="P56" i="1"/>
  <c r="V55" i="1"/>
  <c r="U55" i="1"/>
  <c r="T55" i="1"/>
  <c r="S55" i="1"/>
  <c r="R55" i="1"/>
  <c r="Q55" i="1"/>
  <c r="P55" i="1"/>
  <c r="V54" i="1"/>
  <c r="U54" i="1"/>
  <c r="T54" i="1"/>
  <c r="R54" i="1"/>
  <c r="Q54" i="1"/>
  <c r="P54" i="1"/>
  <c r="V53" i="1"/>
  <c r="U53" i="1"/>
  <c r="T53" i="1"/>
  <c r="S53" i="1"/>
  <c r="R53" i="1"/>
  <c r="Q53" i="1"/>
  <c r="P53" i="1"/>
  <c r="V52" i="1"/>
  <c r="U52" i="1"/>
  <c r="T52" i="1"/>
  <c r="S52" i="1"/>
  <c r="R52" i="1"/>
  <c r="Q52" i="1"/>
  <c r="P52" i="1"/>
  <c r="V51" i="1"/>
  <c r="U51" i="1"/>
  <c r="T51" i="1"/>
  <c r="S51" i="1"/>
  <c r="R51" i="1"/>
  <c r="Q51" i="1"/>
  <c r="P51" i="1"/>
  <c r="V50" i="1"/>
  <c r="U50" i="1"/>
  <c r="T50" i="1"/>
  <c r="S50" i="1"/>
  <c r="R50" i="1"/>
  <c r="Q50" i="1"/>
  <c r="P50" i="1"/>
  <c r="V49" i="1"/>
  <c r="U49" i="1"/>
  <c r="T49" i="1"/>
  <c r="S49" i="1"/>
  <c r="R49" i="1"/>
  <c r="Q49" i="1"/>
  <c r="P49" i="1"/>
  <c r="V48" i="1"/>
  <c r="U48" i="1"/>
  <c r="T48" i="1"/>
  <c r="S48" i="1"/>
  <c r="R48" i="1"/>
  <c r="Q48" i="1"/>
  <c r="P48" i="1"/>
  <c r="V47" i="1"/>
  <c r="U47" i="1"/>
  <c r="T47" i="1"/>
  <c r="S47" i="1"/>
  <c r="R47" i="1"/>
  <c r="Q47" i="1"/>
  <c r="P47" i="1"/>
  <c r="V46" i="1"/>
  <c r="U46" i="1"/>
  <c r="T46" i="1"/>
  <c r="S46" i="1"/>
  <c r="R46" i="1"/>
  <c r="Q46" i="1"/>
  <c r="P46" i="1"/>
  <c r="V45" i="1"/>
  <c r="U45" i="1"/>
  <c r="T45" i="1"/>
  <c r="S45" i="1"/>
  <c r="R45" i="1"/>
  <c r="Q45" i="1"/>
  <c r="P45" i="1"/>
  <c r="V44" i="1"/>
  <c r="U44" i="1"/>
  <c r="T44" i="1"/>
  <c r="S44" i="1"/>
  <c r="R44" i="1"/>
  <c r="Q44" i="1"/>
  <c r="P44" i="1"/>
  <c r="V43" i="1"/>
  <c r="U43" i="1"/>
  <c r="T43" i="1"/>
  <c r="S43" i="1"/>
  <c r="R43" i="1"/>
  <c r="Q43" i="1"/>
  <c r="P43" i="1"/>
  <c r="V42" i="1"/>
  <c r="U42" i="1"/>
  <c r="T42" i="1"/>
  <c r="S42" i="1"/>
  <c r="R42" i="1"/>
  <c r="Q42" i="1"/>
  <c r="P42" i="1"/>
  <c r="V41" i="1"/>
  <c r="U41" i="1"/>
  <c r="T41" i="1"/>
  <c r="S41" i="1"/>
  <c r="R41" i="1"/>
  <c r="Q41" i="1"/>
  <c r="P41" i="1"/>
  <c r="V40" i="1"/>
  <c r="U40" i="1"/>
  <c r="T40" i="1"/>
  <c r="S40" i="1"/>
  <c r="R40" i="1"/>
  <c r="Q40" i="1"/>
  <c r="P40" i="1"/>
  <c r="V39" i="1"/>
  <c r="U39" i="1"/>
  <c r="T39" i="1"/>
  <c r="S39" i="1"/>
  <c r="R39" i="1"/>
  <c r="Q39" i="1"/>
  <c r="P39" i="1"/>
  <c r="V38" i="1"/>
  <c r="U38" i="1"/>
  <c r="T38" i="1"/>
  <c r="S38" i="1"/>
  <c r="R38" i="1"/>
  <c r="Q38" i="1"/>
  <c r="P38" i="1"/>
  <c r="V37" i="1"/>
  <c r="U37" i="1"/>
  <c r="T37" i="1"/>
  <c r="S37" i="1"/>
  <c r="R37" i="1"/>
  <c r="Q37" i="1"/>
  <c r="P37" i="1"/>
  <c r="V36" i="1"/>
  <c r="U36" i="1"/>
  <c r="T36" i="1"/>
  <c r="S36" i="1"/>
  <c r="R36" i="1"/>
  <c r="Q36" i="1"/>
  <c r="P36" i="1"/>
  <c r="V35" i="1"/>
  <c r="U35" i="1"/>
  <c r="T35" i="1"/>
  <c r="S35" i="1"/>
  <c r="R35" i="1"/>
  <c r="Q35" i="1"/>
  <c r="P35" i="1"/>
  <c r="V34" i="1"/>
  <c r="U34" i="1"/>
  <c r="T34" i="1"/>
  <c r="S34" i="1"/>
  <c r="R34" i="1"/>
  <c r="Q34" i="1"/>
  <c r="P34" i="1"/>
  <c r="V33" i="1"/>
  <c r="U33" i="1"/>
  <c r="T33" i="1"/>
  <c r="S33" i="1"/>
  <c r="R33" i="1"/>
  <c r="Q33" i="1"/>
  <c r="P33" i="1"/>
  <c r="V32" i="1"/>
  <c r="U32" i="1"/>
  <c r="T32" i="1"/>
  <c r="S32" i="1"/>
  <c r="R32" i="1"/>
  <c r="Q32" i="1"/>
  <c r="P32" i="1"/>
  <c r="V31" i="1"/>
  <c r="U31" i="1"/>
  <c r="T31" i="1"/>
  <c r="S31" i="1"/>
  <c r="R31" i="1"/>
  <c r="Q31" i="1"/>
  <c r="P31" i="1"/>
  <c r="V30" i="1"/>
  <c r="U30" i="1"/>
  <c r="T30" i="1"/>
  <c r="S30" i="1"/>
  <c r="R30" i="1"/>
  <c r="Q30" i="1"/>
  <c r="P30" i="1"/>
  <c r="V29" i="1"/>
  <c r="U29" i="1"/>
  <c r="T29" i="1"/>
  <c r="S29" i="1"/>
  <c r="R29" i="1"/>
  <c r="Q29" i="1"/>
  <c r="P29" i="1"/>
  <c r="V28" i="1"/>
  <c r="U28" i="1"/>
  <c r="T28" i="1"/>
  <c r="S28" i="1"/>
  <c r="R28" i="1"/>
  <c r="Q28" i="1"/>
  <c r="P28" i="1"/>
  <c r="V27" i="1"/>
  <c r="U27" i="1"/>
  <c r="T27" i="1"/>
  <c r="S27" i="1"/>
  <c r="R27" i="1"/>
  <c r="Q27" i="1"/>
  <c r="P27" i="1"/>
  <c r="V26" i="1"/>
  <c r="U26" i="1"/>
  <c r="T26" i="1"/>
  <c r="S26" i="1"/>
  <c r="R26" i="1"/>
  <c r="Q26" i="1"/>
  <c r="P26" i="1"/>
  <c r="V25" i="1"/>
  <c r="U25" i="1"/>
  <c r="T25" i="1"/>
  <c r="S25" i="1"/>
  <c r="R25" i="1"/>
  <c r="Q25" i="1"/>
  <c r="P25" i="1"/>
  <c r="V24" i="1"/>
  <c r="U24" i="1"/>
  <c r="T24" i="1"/>
  <c r="S24" i="1"/>
  <c r="R24" i="1"/>
  <c r="Q24" i="1"/>
  <c r="P24" i="1"/>
  <c r="V23" i="1"/>
  <c r="U23" i="1"/>
  <c r="T23" i="1"/>
  <c r="S23" i="1"/>
  <c r="R23" i="1"/>
  <c r="Q23" i="1"/>
  <c r="P23" i="1"/>
  <c r="V22" i="1"/>
  <c r="U22" i="1"/>
  <c r="T22" i="1"/>
  <c r="S22" i="1"/>
  <c r="R22" i="1"/>
  <c r="Q22" i="1"/>
  <c r="P22" i="1"/>
  <c r="V21" i="1"/>
  <c r="U21" i="1"/>
  <c r="T21" i="1"/>
  <c r="S21" i="1"/>
  <c r="R21" i="1"/>
  <c r="Q21" i="1"/>
  <c r="P21" i="1"/>
  <c r="V20" i="1"/>
  <c r="U20" i="1"/>
  <c r="T20" i="1"/>
  <c r="S20" i="1"/>
  <c r="R20" i="1"/>
  <c r="Q20" i="1"/>
  <c r="P20" i="1"/>
  <c r="V19" i="1"/>
  <c r="U19" i="1"/>
  <c r="T19" i="1"/>
  <c r="S19" i="1"/>
  <c r="R19" i="1"/>
  <c r="Q19" i="1"/>
  <c r="P19" i="1"/>
  <c r="V18" i="1"/>
  <c r="U18" i="1"/>
  <c r="T18" i="1"/>
  <c r="S18" i="1"/>
  <c r="R18" i="1"/>
  <c r="Q18" i="1"/>
  <c r="P18" i="1"/>
  <c r="V17" i="1"/>
  <c r="U17" i="1"/>
  <c r="T17" i="1"/>
  <c r="S17" i="1"/>
  <c r="R17" i="1"/>
  <c r="Q17" i="1"/>
  <c r="P17" i="1"/>
  <c r="V16" i="1"/>
  <c r="U16" i="1"/>
  <c r="T16" i="1"/>
  <c r="S16" i="1"/>
  <c r="R16" i="1"/>
  <c r="Q16" i="1"/>
  <c r="P16" i="1"/>
  <c r="V15" i="1"/>
  <c r="U15" i="1"/>
  <c r="T15" i="1"/>
  <c r="S15" i="1"/>
  <c r="R15" i="1"/>
  <c r="Q15" i="1"/>
  <c r="P15" i="1"/>
  <c r="V14" i="1"/>
  <c r="U14" i="1"/>
  <c r="T14" i="1"/>
  <c r="S14" i="1"/>
  <c r="R14" i="1"/>
  <c r="Q14" i="1"/>
  <c r="P14" i="1"/>
  <c r="V13" i="1"/>
  <c r="U13" i="1"/>
  <c r="T13" i="1"/>
  <c r="S13" i="1"/>
  <c r="R13" i="1"/>
  <c r="Q13" i="1"/>
  <c r="P13" i="1"/>
  <c r="P12" i="1"/>
  <c r="Q12" i="1"/>
  <c r="R12" i="1"/>
  <c r="S12" i="1"/>
  <c r="T12" i="1"/>
  <c r="U12" i="1"/>
  <c r="V12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M62" i="1"/>
  <c r="M61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I24" i="2"/>
  <c r="D6" i="2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G9" i="1"/>
  <c r="I19" i="2"/>
  <c r="Y15" i="1"/>
  <c r="Y14" i="1"/>
  <c r="Y13" i="1"/>
  <c r="Y12" i="1"/>
  <c r="N8" i="2"/>
  <c r="J35" i="1" l="1"/>
  <c r="J32" i="1"/>
  <c r="J18" i="1"/>
  <c r="J43" i="1"/>
  <c r="J53" i="1"/>
  <c r="J29" i="1"/>
  <c r="J38" i="1"/>
  <c r="J46" i="1"/>
  <c r="J54" i="1"/>
  <c r="J26" i="1"/>
  <c r="J51" i="1"/>
  <c r="J28" i="1"/>
  <c r="J37" i="1"/>
  <c r="J21" i="1"/>
  <c r="J59" i="1"/>
  <c r="J45" i="1"/>
  <c r="J17" i="1"/>
  <c r="J25" i="1"/>
  <c r="J34" i="1"/>
  <c r="J42" i="1"/>
  <c r="J50" i="1"/>
  <c r="J58" i="1"/>
  <c r="J19" i="1"/>
  <c r="J27" i="1"/>
  <c r="J36" i="1"/>
  <c r="J44" i="1"/>
  <c r="J52" i="1"/>
  <c r="J61" i="1"/>
  <c r="J62" i="1"/>
  <c r="J12" i="1"/>
  <c r="J13" i="1"/>
  <c r="J22" i="1"/>
  <c r="J30" i="1"/>
  <c r="J39" i="1"/>
  <c r="J47" i="1"/>
  <c r="J55" i="1"/>
  <c r="J20" i="1"/>
  <c r="J14" i="1"/>
  <c r="J23" i="1"/>
  <c r="J31" i="1"/>
  <c r="J40" i="1"/>
  <c r="J48" i="1"/>
  <c r="J56" i="1"/>
  <c r="J15" i="1"/>
  <c r="J16" i="1"/>
  <c r="J24" i="1"/>
  <c r="J33" i="1"/>
  <c r="J41" i="1"/>
  <c r="J49" i="1"/>
  <c r="J57" i="1"/>
  <c r="J60" i="1"/>
  <c r="D21" i="2"/>
  <c r="E21" i="2" s="1"/>
  <c r="I6" i="2"/>
  <c r="D22" i="2"/>
  <c r="D16" i="2"/>
  <c r="M135" i="2" a="1"/>
  <c r="M135" i="2" s="1"/>
  <c r="Z12" i="1"/>
  <c r="I16" i="2"/>
  <c r="Z20" i="1"/>
  <c r="Z16" i="1"/>
  <c r="Z13" i="1"/>
  <c r="Z15" i="1"/>
  <c r="Z14" i="1"/>
  <c r="Z17" i="1"/>
  <c r="Z19" i="1"/>
  <c r="Z18" i="1"/>
  <c r="D8" i="2"/>
  <c r="E8" i="2" s="1"/>
  <c r="D9" i="2"/>
  <c r="E9" i="2" s="1"/>
  <c r="Z57" i="1"/>
  <c r="Z32" i="1"/>
  <c r="Z47" i="1"/>
  <c r="I22" i="2"/>
  <c r="J22" i="2" s="1"/>
  <c r="I21" i="2"/>
  <c r="J21" i="2" s="1"/>
  <c r="D7" i="2" l="1"/>
  <c r="E7" i="2" s="1"/>
  <c r="Z45" i="1"/>
  <c r="Z48" i="1"/>
  <c r="Z35" i="1"/>
  <c r="Z21" i="1"/>
  <c r="I20" i="2"/>
  <c r="J20" i="2" s="1"/>
  <c r="D20" i="2"/>
  <c r="E20" i="2" s="1"/>
  <c r="E22" i="2"/>
  <c r="Z41" i="1" l="1"/>
  <c r="Z42" i="1"/>
  <c r="Z58" i="1"/>
  <c r="Z28" i="1"/>
  <c r="Z44" i="1"/>
  <c r="Z30" i="1"/>
  <c r="Z49" i="1"/>
  <c r="Z38" i="1"/>
  <c r="Z36" i="1"/>
  <c r="Z46" i="1"/>
  <c r="Z52" i="1"/>
  <c r="Z55" i="1"/>
  <c r="Z31" i="1"/>
  <c r="Z27" i="1"/>
  <c r="Z53" i="1"/>
  <c r="Z51" i="1"/>
  <c r="Z50" i="1"/>
  <c r="Z24" i="1"/>
  <c r="Z29" i="1"/>
  <c r="Z37" i="1"/>
  <c r="Z59" i="1"/>
  <c r="Z22" i="1"/>
  <c r="Z33" i="1"/>
  <c r="Z39" i="1"/>
  <c r="Z56" i="1"/>
  <c r="Z60" i="1"/>
  <c r="Z26" i="1"/>
  <c r="Z25" i="1"/>
  <c r="Z34" i="1"/>
  <c r="Z61" i="1"/>
  <c r="Z23" i="1"/>
  <c r="Z40" i="1"/>
  <c r="Z54" i="1"/>
  <c r="Z43" i="1"/>
  <c r="Z62" i="1"/>
  <c r="D2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<sst xmlns="http://schemas.openxmlformats.org/spreadsheetml/2006/main" count="963" uniqueCount="146">
  <si>
    <t>Numero</t>
  </si>
  <si>
    <t>Materia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</si>
  <si>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</si>
  <si>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</si>
  <si>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</si>
  <si>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</si>
  <si>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</si>
  <si>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</si>
  <si>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</si>
  <si>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</si>
  <si>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</si>
  <si>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</si>
  <si>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</si>
  <si>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</si>
  <si>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</si>
  <si>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</si>
  <si>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</si>
  <si>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</si>
  <si>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</si>
  <si>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</si>
  <si>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</si>
  <si>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</si>
  <si>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</si>
  <si>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Legislación</t>
  </si>
  <si>
    <t>Algebra y Geometría Analítica</t>
  </si>
  <si>
    <t>Ingeniería y Sociedad</t>
  </si>
  <si>
    <t xml:space="preserve"> 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</si>
  <si>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</si>
  <si>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</si>
  <si>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</si>
  <si>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</si>
  <si>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</si>
  <si>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</si>
  <si>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</si>
  <si>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</si>
  <si>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</si>
  <si>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E-10</t>
  </si>
  <si>
    <t>Nota</t>
  </si>
  <si>
    <t>Promedio</t>
  </si>
  <si>
    <t>Autor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</si>
  <si>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</si>
  <si>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</si>
  <si>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</si>
  <si>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</si>
  <si>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</si>
  <si>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</si>
  <si>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</si>
  <si>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</si>
  <si>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</si>
  <si>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</si>
  <si>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</si>
  <si>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</si>
  <si>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</si>
  <si>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</si>
  <si>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</si>
  <si>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</si>
  <si>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</si>
  <si>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</si>
  <si>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</si>
  <si>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</si>
  <si>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</si>
  <si>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</si>
  <si>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</si>
  <si>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</si>
  <si>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</si>
  <si>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</si>
  <si>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</si>
  <si>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</si>
  <si>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</si>
  <si>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</si>
  <si>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</si>
  <si>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</si>
  <si>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</si>
  <si>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</si>
  <si>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</si>
  <si>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</si>
  <si>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</si>
  <si>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</si>
  <si>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</si>
  <si>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</si>
  <si>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</si>
  <si>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</si>
  <si>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</si>
  <si>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</si>
  <si>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</si>
  <si>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</si>
  <si>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</si>
  <si>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</si>
  <si>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</si>
  <si>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</si>
  <si>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</si>
  <si>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</si>
  <si>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Introducción a la Ingeniería Química (Int. I)</t>
  </si>
  <si>
    <t>Ing. Quimica Plan de Estudio UTN FRC 2025</t>
  </si>
  <si>
    <t>Química</t>
  </si>
  <si>
    <t>Sistemas de Representación</t>
  </si>
  <si>
    <t>Fundamentos de Informática</t>
  </si>
  <si>
    <t>Probabilidad y Estadística</t>
  </si>
  <si>
    <t>Química Inorgánica</t>
  </si>
  <si>
    <t>Química Orgánica</t>
  </si>
  <si>
    <t>Matemática Superior Aplicada</t>
  </si>
  <si>
    <t>Termodinámica</t>
  </si>
  <si>
    <t>Ciencia de los Materiales</t>
  </si>
  <si>
    <t>Química Analítica</t>
  </si>
  <si>
    <t>R5</t>
  </si>
  <si>
    <t>R6</t>
  </si>
  <si>
    <t>A5</t>
  </si>
  <si>
    <t>Introducción a Equipos y Procesos (Int. II)</t>
  </si>
  <si>
    <t>Tecnología de la Energía Térmica</t>
  </si>
  <si>
    <t>Ingeniería de las Reacciones Químicas</t>
  </si>
  <si>
    <t>Proyecto Final (Int. V)</t>
  </si>
  <si>
    <t>Microbiología y Química Biológica</t>
  </si>
  <si>
    <t>Balances de Masa y Energía (Int. III)</t>
  </si>
  <si>
    <t>Fisicoquímica</t>
  </si>
  <si>
    <t>Fenómenos de Transporte</t>
  </si>
  <si>
    <t>Química Aplicada</t>
  </si>
  <si>
    <t>Higiene y Seguridad de Procesos</t>
  </si>
  <si>
    <t>Organización Industrial</t>
  </si>
  <si>
    <t>Procesos Biotecnológicos</t>
  </si>
  <si>
    <t>Control Automático de Procesos</t>
  </si>
  <si>
    <t>Mecánica Industrial</t>
  </si>
  <si>
    <t>Ingeniería Ambiental</t>
  </si>
  <si>
    <t>Calidad y Control Estadístico de Procesos</t>
  </si>
  <si>
    <t>Máquinas e Instalaciones Eléctricas</t>
  </si>
  <si>
    <t>Tecnología de los Alimentos</t>
  </si>
  <si>
    <t>Ingeniería de las Instalaciones</t>
  </si>
  <si>
    <t>Física de los Materiales</t>
  </si>
  <si>
    <t>Formaciones de Tutores Emprendedores</t>
  </si>
  <si>
    <t>Catalizadores y Procesos Catalíticos</t>
  </si>
  <si>
    <t>Introducción a la Investigación Científica</t>
  </si>
  <si>
    <t>Gestión de Potencial Humano</t>
  </si>
  <si>
    <t>Herramientas de Dirección y Gestión Empresarial</t>
  </si>
  <si>
    <t>Prácticas Profesionales Supervisadas</t>
  </si>
  <si>
    <t>Diseño, Simulación, Optimización y Seguridad de Procesos (Int. IV)</t>
  </si>
  <si>
    <t>Planificación, Desarrollo y Seguimiento de Proyectos Industriales</t>
  </si>
  <si>
    <t>Materias Faltantes Para Técnico</t>
  </si>
  <si>
    <t>Análisis Matemático 1</t>
  </si>
  <si>
    <t>Análisis Matemático 2</t>
  </si>
  <si>
    <t>Inglés 1</t>
  </si>
  <si>
    <t>Física 1</t>
  </si>
  <si>
    <t>Inglés 2</t>
  </si>
  <si>
    <t>Física 2</t>
  </si>
  <si>
    <t>Operaciones Unitarias 1</t>
  </si>
  <si>
    <t>Operaciones Unitarias 2</t>
  </si>
  <si>
    <t>Total(24 horas)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</si>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</sst>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thick">
        <color indexed="64"/>
      </top>
      <bottom style="thin">
        <color theme="0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294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8" xfId="0" applyBorder="1"/>
    <xf numFmtId="0" fontId="0" fillId="0" borderId="6" xfId="0" applyBorder="1"/>
    <xf numFmtId="0" fontId="0" fillId="0" borderId="17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7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8" xfId="0" applyBorder="1"/>
    <xf numFmtId="0" fontId="0" fillId="0" borderId="10" xfId="0" applyBorder="1"/>
    <xf numFmtId="0" fontId="0" fillId="0" borderId="29" xfId="0" applyBorder="1"/>
    <xf numFmtId="0" fontId="0" fillId="0" borderId="27" xfId="0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0" fillId="0" borderId="30" xfId="0" applyBorder="1"/>
    <xf numFmtId="0" fontId="17" fillId="0" borderId="31" xfId="0" applyFont="1" applyBorder="1" applyAlignment="1">
      <alignment horizontal="center" vertical="center" wrapText="1"/>
    </xf>
    <xf numFmtId="0" fontId="17" fillId="0" borderId="31" xfId="0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 vertical="center"/>
    </xf>
    <xf numFmtId="0" fontId="17" fillId="0" borderId="3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0" borderId="0" xfId="0" applyFont="1" applyFill="1" applyBorder="1" applyAlignment="1">
      <alignment horizontal="center" vertical="center"/>
    </xf>
    <xf numFmtId="0" fontId="5" fillId="21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2" borderId="36" xfId="0" applyFont="1" applyFill="1" applyBorder="1"/>
    <xf numFmtId="0" fontId="0" fillId="0" borderId="36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4" borderId="35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5" borderId="5" xfId="0" applyFont="1" applyFill="1" applyBorder="1" applyAlignment="1">
      <alignment horizontal="center" vertical="center" wrapText="1"/>
    </xf>
    <xf numFmtId="0" fontId="17" fillId="23" borderId="35" xfId="0" applyFont="1" applyFill="1" applyBorder="1" applyAlignment="1">
      <alignment horizontal="center" vertical="center" wrapText="1"/>
    </xf>
    <xf numFmtId="0" fontId="16" fillId="2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16" fillId="15" borderId="0" xfId="2" applyFont="1" applyFill="1" applyBorder="1" applyAlignment="1">
      <alignment horizontal="left" vertical="center" wrapText="1"/>
    </xf>
    <xf numFmtId="0" fontId="16" fillId="18" borderId="0" xfId="1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1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0" borderId="0" xfId="0" applyFont="1" applyFill="1" applyBorder="1" applyAlignment="1">
      <alignment horizontal="left" vertical="center" wrapText="1"/>
    </xf>
    <xf numFmtId="0" fontId="5" fillId="17" borderId="14" xfId="3" applyFont="1" applyFill="1" applyBorder="1" applyAlignment="1">
      <alignment horizontal="center" vertical="center"/>
    </xf>
    <xf numFmtId="0" fontId="5" fillId="17" borderId="9" xfId="3" applyFont="1" applyFill="1" applyBorder="1" applyAlignment="1">
      <alignment horizontal="center" vertical="center"/>
    </xf>
    <xf numFmtId="0" fontId="5" fillId="6" borderId="23" xfId="2" applyFont="1" applyFill="1" applyBorder="1" applyAlignment="1">
      <alignment horizontal="center" vertical="center"/>
    </xf>
    <xf numFmtId="0" fontId="5" fillId="17" borderId="10" xfId="3" applyFont="1" applyFill="1" applyBorder="1" applyAlignment="1">
      <alignment horizontal="center" vertical="center"/>
    </xf>
    <xf numFmtId="0" fontId="5" fillId="15" borderId="20" xfId="2" applyFont="1" applyFill="1" applyBorder="1" applyAlignment="1">
      <alignment horizontal="center" vertical="center"/>
    </xf>
    <xf numFmtId="0" fontId="5" fillId="15" borderId="21" xfId="2" applyFont="1" applyFill="1" applyBorder="1" applyAlignment="1">
      <alignment horizontal="center" vertical="center"/>
    </xf>
    <xf numFmtId="0" fontId="5" fillId="15" borderId="25" xfId="2" applyFont="1" applyFill="1" applyBorder="1" applyAlignment="1">
      <alignment horizontal="center" vertical="center"/>
    </xf>
    <xf numFmtId="0" fontId="5" fillId="15" borderId="14" xfId="2" applyFont="1" applyFill="1" applyBorder="1" applyAlignment="1">
      <alignment horizontal="center" vertical="center"/>
    </xf>
    <xf numFmtId="0" fontId="5" fillId="15" borderId="9" xfId="2" applyFont="1" applyFill="1" applyBorder="1" applyAlignment="1">
      <alignment horizontal="center" vertical="center"/>
    </xf>
    <xf numFmtId="0" fontId="5" fillId="18" borderId="14" xfId="2" applyFont="1" applyFill="1" applyBorder="1" applyAlignment="1">
      <alignment horizontal="center" vertical="center"/>
    </xf>
    <xf numFmtId="0" fontId="5" fillId="18" borderId="9" xfId="2" applyFont="1" applyFill="1" applyBorder="1" applyAlignment="1">
      <alignment horizontal="center" vertical="center"/>
    </xf>
    <xf numFmtId="0" fontId="5" fillId="18" borderId="23" xfId="2" applyFont="1" applyFill="1" applyBorder="1" applyAlignment="1">
      <alignment horizontal="center" vertical="center"/>
    </xf>
    <xf numFmtId="0" fontId="5" fillId="21" borderId="4" xfId="2" applyFont="1" applyFill="1" applyBorder="1" applyAlignment="1">
      <alignment horizontal="center" vertical="center"/>
    </xf>
    <xf numFmtId="0" fontId="5" fillId="21" borderId="0" xfId="2" applyFont="1" applyFill="1" applyBorder="1" applyAlignment="1">
      <alignment horizontal="center" vertical="center"/>
    </xf>
    <xf numFmtId="0" fontId="5" fillId="21" borderId="18" xfId="2" applyFont="1" applyFill="1" applyBorder="1" applyAlignment="1">
      <alignment horizontal="center" vertical="center"/>
    </xf>
    <xf numFmtId="0" fontId="5" fillId="20" borderId="14" xfId="2" applyFont="1" applyFill="1" applyBorder="1" applyAlignment="1">
      <alignment horizontal="center" vertical="center"/>
    </xf>
    <xf numFmtId="0" fontId="5" fillId="20" borderId="9" xfId="2" applyFont="1" applyFill="1" applyBorder="1" applyAlignment="1">
      <alignment horizontal="center" vertical="center"/>
    </xf>
    <xf numFmtId="0" fontId="5" fillId="20" borderId="23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9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23" fillId="5" borderId="40" xfId="0" applyFont="1" applyFill="1" applyBorder="1" applyAlignment="1">
      <alignment horizontal="center" vertical="center" wrapText="1"/>
    </xf>
    <xf numFmtId="0" fontId="5" fillId="20" borderId="4" xfId="2" applyFont="1" applyFill="1" applyBorder="1" applyAlignment="1">
      <alignment horizontal="center" vertical="center"/>
    </xf>
    <xf numFmtId="0" fontId="5" fillId="16" borderId="4" xfId="2" applyFont="1" applyFill="1" applyBorder="1" applyAlignment="1">
      <alignment horizontal="center" vertical="center"/>
    </xf>
    <xf numFmtId="0" fontId="5" fillId="20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18" xfId="2" applyFont="1" applyFill="1" applyBorder="1" applyAlignment="1">
      <alignment horizontal="center" vertical="center"/>
    </xf>
    <xf numFmtId="0" fontId="5" fillId="20" borderId="18" xfId="2" applyFont="1" applyFill="1" applyBorder="1" applyAlignment="1">
      <alignment horizontal="center" vertical="center"/>
    </xf>
    <xf numFmtId="0" fontId="5" fillId="17" borderId="18" xfId="3" applyFont="1" applyFill="1" applyBorder="1" applyAlignment="1">
      <alignment horizontal="center" vertical="center"/>
    </xf>
    <xf numFmtId="0" fontId="5" fillId="16" borderId="18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6" borderId="25" xfId="2" applyFont="1" applyFill="1" applyBorder="1" applyAlignment="1">
      <alignment horizontal="center" vertical="center"/>
    </xf>
    <xf numFmtId="0" fontId="5" fillId="6" borderId="41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6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1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16" borderId="26" xfId="0" applyFont="1" applyFill="1" applyBorder="1" applyAlignment="1">
      <alignment horizontal="center" vertical="center"/>
    </xf>
    <xf numFmtId="0" fontId="5" fillId="16" borderId="26" xfId="0" applyFont="1" applyFill="1" applyBorder="1" applyAlignment="1">
      <alignment horizontal="left" vertical="center" wrapText="1"/>
    </xf>
    <xf numFmtId="0" fontId="5" fillId="16" borderId="26" xfId="0" applyFont="1" applyFill="1" applyBorder="1" applyAlignment="1" applyProtection="1">
      <alignment horizontal="center" vertical="center"/>
      <protection locked="0"/>
    </xf>
    <xf numFmtId="0" fontId="5" fillId="16" borderId="32" xfId="2" applyFont="1" applyFill="1" applyBorder="1" applyAlignment="1">
      <alignment horizontal="center" vertical="center"/>
    </xf>
    <xf numFmtId="0" fontId="5" fillId="16" borderId="26" xfId="2" applyFont="1" applyFill="1" applyBorder="1" applyAlignment="1">
      <alignment horizontal="center" vertical="center"/>
    </xf>
    <xf numFmtId="0" fontId="5" fillId="15" borderId="23" xfId="2" applyFont="1" applyFill="1" applyBorder="1" applyAlignment="1">
      <alignment horizontal="center" vertical="center"/>
    </xf>
    <xf numFmtId="0" fontId="5" fillId="16" borderId="33" xfId="2" applyFont="1" applyFill="1" applyBorder="1" applyAlignment="1">
      <alignment horizontal="center" vertical="center"/>
    </xf>
    <xf numFmtId="0" fontId="5" fillId="17" borderId="21" xfId="3" applyFont="1" applyFill="1" applyBorder="1" applyAlignment="1">
      <alignment horizontal="center" vertical="center"/>
    </xf>
    <xf numFmtId="0" fontId="5" fillId="18" borderId="3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8" borderId="14" xfId="2" applyFont="1" applyFill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8" borderId="12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20" borderId="21" xfId="2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20" borderId="20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center" vertical="center"/>
    </xf>
    <xf numFmtId="0" fontId="5" fillId="18" borderId="2" xfId="1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5" borderId="6" xfId="2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left" vertical="center" wrapText="1"/>
    </xf>
    <xf numFmtId="0" fontId="5" fillId="18" borderId="2" xfId="1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0" fontId="5" fillId="18" borderId="2" xfId="1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2" xfId="3" applyFont="1" applyFill="1" applyBorder="1" applyAlignment="1">
      <alignment horizontal="center" vertical="center"/>
    </xf>
    <xf numFmtId="0" fontId="5" fillId="15" borderId="15" xfId="2" applyFont="1" applyFill="1" applyBorder="1" applyAlignment="1">
      <alignment horizontal="center" vertical="center"/>
    </xf>
    <xf numFmtId="0" fontId="5" fillId="17" borderId="5" xfId="3" applyFont="1" applyFill="1" applyBorder="1" applyAlignment="1">
      <alignment horizontal="center" vertical="center"/>
    </xf>
    <xf numFmtId="0" fontId="5" fillId="17" borderId="13" xfId="3" applyFont="1" applyFill="1" applyBorder="1" applyAlignment="1">
      <alignment horizontal="center" vertical="center"/>
    </xf>
    <xf numFmtId="0" fontId="5" fillId="15" borderId="16" xfId="2" applyFont="1" applyFill="1" applyBorder="1" applyAlignment="1">
      <alignment horizontal="center" vertical="center"/>
    </xf>
    <xf numFmtId="0" fontId="5" fillId="18" borderId="13" xfId="2" applyFont="1" applyFill="1" applyBorder="1" applyAlignment="1">
      <alignment horizontal="center" vertical="center"/>
    </xf>
    <xf numFmtId="0" fontId="5" fillId="20" borderId="25" xfId="2" applyFont="1" applyFill="1" applyBorder="1" applyAlignment="1">
      <alignment horizontal="center" vertical="center"/>
    </xf>
    <xf numFmtId="0" fontId="5" fillId="15" borderId="24" xfId="2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5" borderId="17" xfId="2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2" xfId="1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1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16" borderId="26" xfId="0" applyNumberFormat="1" applyFont="1" applyFill="1" applyBorder="1" applyAlignment="1">
      <alignment horizontal="center" vertical="center"/>
    </xf>
    <xf numFmtId="1" fontId="5" fillId="20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1" fontId="5" fillId="18" borderId="2" xfId="1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1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16" borderId="26" xfId="0" applyNumberFormat="1" applyFont="1" applyFill="1" applyBorder="1" applyAlignment="1" applyProtection="1">
      <alignment horizontal="center" vertical="center"/>
      <protection locked="0"/>
    </xf>
    <xf numFmtId="1" fontId="5" fillId="20" borderId="0" xfId="0" applyNumberFormat="1" applyFont="1" applyFill="1" applyBorder="1" applyAlignment="1" applyProtection="1">
      <alignment horizontal="center" vertical="center"/>
      <protection locked="0"/>
    </xf>
    <xf numFmtId="0" fontId="1" fillId="24" borderId="35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wrapText="1"/>
    </xf>
    <xf numFmtId="0" fontId="5" fillId="18" borderId="6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5" xfId="2" applyFont="1" applyFill="1" applyBorder="1" applyAlignment="1">
      <alignment horizontal="center" vertical="center"/>
    </xf>
    <xf numFmtId="0" fontId="5" fillId="18" borderId="6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18" borderId="0" xfId="2" applyFont="1" applyFill="1" applyBorder="1" applyAlignment="1">
      <alignment horizontal="center" vertical="center"/>
    </xf>
    <xf numFmtId="0" fontId="5" fillId="18" borderId="25" xfId="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5" fillId="18" borderId="2" xfId="2" applyFont="1" applyFill="1" applyBorder="1" applyAlignment="1">
      <alignment horizontal="center" vertical="center"/>
    </xf>
    <xf numFmtId="0" fontId="0" fillId="0" borderId="0" xfId="0" applyBorder="1" applyAlignment="1"/>
    <xf numFmtId="0" fontId="5" fillId="21" borderId="42" xfId="2" applyFont="1" applyFill="1" applyBorder="1" applyAlignment="1">
      <alignment horizontal="center" vertical="center"/>
    </xf>
    <xf numFmtId="0" fontId="5" fillId="21" borderId="10" xfId="2" applyFont="1" applyFill="1" applyBorder="1" applyAlignment="1">
      <alignment horizontal="center" vertical="center"/>
    </xf>
    <xf numFmtId="0" fontId="5" fillId="21" borderId="43" xfId="2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1" fontId="5" fillId="16" borderId="2" xfId="0" applyNumberFormat="1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left" vertical="center" wrapText="1"/>
    </xf>
    <xf numFmtId="0" fontId="5" fillId="16" borderId="2" xfId="0" applyFont="1" applyFill="1" applyBorder="1" applyAlignment="1" applyProtection="1">
      <alignment horizontal="center" vertical="center"/>
      <protection locked="0"/>
    </xf>
    <xf numFmtId="1" fontId="5" fillId="16" borderId="2" xfId="0" applyNumberFormat="1" applyFont="1" applyFill="1" applyBorder="1" applyAlignment="1" applyProtection="1">
      <alignment horizontal="center" vertical="center"/>
      <protection locked="0"/>
    </xf>
    <xf numFmtId="0" fontId="5" fillId="16" borderId="1" xfId="2" applyFont="1" applyFill="1" applyBorder="1" applyAlignment="1">
      <alignment horizontal="center" vertical="center"/>
    </xf>
    <xf numFmtId="0" fontId="5" fillId="16" borderId="2" xfId="2" applyFont="1" applyFill="1" applyBorder="1" applyAlignment="1">
      <alignment horizontal="center" vertical="center"/>
    </xf>
    <xf numFmtId="0" fontId="5" fillId="16" borderId="3" xfId="2" applyFont="1" applyFill="1" applyBorder="1" applyAlignment="1">
      <alignment horizontal="center" vertical="center"/>
    </xf>
    <xf numFmtId="0" fontId="5" fillId="6" borderId="2" xfId="2" applyFont="1" applyFill="1" applyBorder="1" applyAlignment="1">
      <alignment horizontal="center" vertical="center"/>
    </xf>
    <xf numFmtId="0" fontId="5" fillId="6" borderId="22" xfId="2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center" vertical="center"/>
    </xf>
    <xf numFmtId="0" fontId="5" fillId="16" borderId="32" xfId="0" applyFont="1" applyFill="1" applyBorder="1" applyAlignment="1">
      <alignment horizontal="center" vertical="center"/>
    </xf>
    <xf numFmtId="0" fontId="5" fillId="20" borderId="4" xfId="0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6" borderId="24" xfId="2" applyFont="1" applyFill="1" applyBorder="1" applyAlignment="1">
      <alignment horizontal="center" vertical="center"/>
    </xf>
    <xf numFmtId="0" fontId="5" fillId="16" borderId="33" xfId="2" quotePrefix="1" applyFont="1" applyFill="1" applyBorder="1" applyAlignment="1">
      <alignment horizontal="center" vertical="center"/>
    </xf>
    <xf numFmtId="0" fontId="5" fillId="20" borderId="42" xfId="2" applyFont="1" applyFill="1" applyBorder="1" applyAlignment="1">
      <alignment horizontal="center" vertical="center"/>
    </xf>
    <xf numFmtId="0" fontId="5" fillId="20" borderId="10" xfId="2" applyFont="1" applyFill="1" applyBorder="1" applyAlignment="1">
      <alignment horizontal="center" vertical="center"/>
    </xf>
    <xf numFmtId="0" fontId="5" fillId="20" borderId="43" xfId="2" applyFont="1" applyFill="1" applyBorder="1" applyAlignment="1">
      <alignment horizontal="center" vertical="center"/>
    </xf>
    <xf numFmtId="0" fontId="0" fillId="0" borderId="44" xfId="0" applyBorder="1"/>
    <xf numFmtId="0" fontId="5" fillId="0" borderId="6" xfId="0" applyFont="1" applyBorder="1" applyAlignment="1">
      <alignment horizontal="center" vertical="top" wrapText="1"/>
    </xf>
    <xf numFmtId="0" fontId="21" fillId="0" borderId="6" xfId="0" applyFont="1" applyBorder="1" applyAlignment="1">
      <alignment horizontal="center" vertical="top" wrapText="1"/>
    </xf>
    <xf numFmtId="0" fontId="6" fillId="5" borderId="45" xfId="0" applyFont="1" applyFill="1" applyBorder="1" applyAlignment="1">
      <alignment horizontal="center" vertical="top" wrapText="1"/>
    </xf>
    <xf numFmtId="0" fontId="6" fillId="5" borderId="6" xfId="0" applyFont="1" applyFill="1" applyBorder="1" applyAlignment="1">
      <alignment horizontal="center" vertical="top" wrapText="1"/>
    </xf>
    <xf numFmtId="0" fontId="6" fillId="5" borderId="5" xfId="0" applyFont="1" applyFill="1" applyBorder="1" applyAlignment="1">
      <alignment horizontal="center" vertical="top" wrapText="1"/>
    </xf>
    <xf numFmtId="0" fontId="5" fillId="0" borderId="0" xfId="0" applyFont="1" applyBorder="1" applyAlignment="1">
      <alignment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4" borderId="8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3" borderId="7" xfId="0" applyFont="1" applyFill="1" applyBorder="1" applyAlignment="1">
      <alignment horizontal="center" vertical="center" wrapText="1"/>
    </xf>
    <xf numFmtId="0" fontId="16" fillId="23" borderId="8" xfId="0" applyFont="1" applyFill="1" applyBorder="1" applyAlignment="1">
      <alignment horizontal="center" vertical="center" wrapText="1"/>
    </xf>
    <xf numFmtId="0" fontId="16" fillId="23" borderId="11" xfId="0" applyFont="1" applyFill="1" applyBorder="1" applyAlignment="1">
      <alignment horizontal="center" vertical="center" wrapText="1"/>
    </xf>
    <xf numFmtId="0" fontId="4" fillId="25" borderId="8" xfId="0" applyFont="1" applyFill="1" applyBorder="1" applyAlignment="1" applyProtection="1">
      <alignment horizontal="center" vertical="center" wrapText="1"/>
      <protection locked="0"/>
    </xf>
    <xf numFmtId="0" fontId="4" fillId="25" borderId="11" xfId="0" applyFont="1" applyFill="1" applyBorder="1" applyAlignment="1" applyProtection="1">
      <alignment horizontal="center" vertical="center" wrapText="1"/>
      <protection locked="0"/>
    </xf>
    <xf numFmtId="0" fontId="7" fillId="24" borderId="7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17" fillId="25" borderId="7" xfId="0" applyFont="1" applyFill="1" applyBorder="1" applyAlignment="1">
      <alignment horizontal="center" vertical="center" wrapText="1"/>
    </xf>
    <xf numFmtId="0" fontId="17" fillId="25" borderId="8" xfId="0" applyFont="1" applyFill="1" applyBorder="1" applyAlignment="1">
      <alignment horizontal="center" vertical="center" wrapText="1"/>
    </xf>
    <xf numFmtId="0" fontId="17" fillId="25" borderId="11" xfId="0" applyFont="1" applyFill="1" applyBorder="1" applyAlignment="1">
      <alignment horizontal="center" vertical="center" wrapText="1"/>
    </xf>
    <xf numFmtId="0" fontId="7" fillId="24" borderId="7" xfId="0" applyFont="1" applyFill="1" applyBorder="1" applyAlignment="1" applyProtection="1">
      <alignment horizontal="center" vertical="center"/>
      <protection locked="0"/>
    </xf>
    <xf numFmtId="0" fontId="7" fillId="24" borderId="8" xfId="0" applyFont="1" applyFill="1" applyBorder="1" applyAlignment="1" applyProtection="1">
      <alignment horizontal="center" vertical="center"/>
      <protection locked="0"/>
    </xf>
    <xf numFmtId="0" fontId="7" fillId="23" borderId="7" xfId="0" applyFont="1" applyFill="1" applyBorder="1" applyAlignment="1">
      <alignment horizontal="center" vertical="center"/>
    </xf>
    <xf numFmtId="0" fontId="7" fillId="23" borderId="8" xfId="0" applyFont="1" applyFill="1" applyBorder="1" applyAlignment="1">
      <alignment horizontal="center" vertical="center"/>
    </xf>
    <xf numFmtId="0" fontId="7" fillId="23" borderId="11" xfId="0" applyFont="1" applyFill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28" fillId="18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37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5" fillId="0" borderId="37" xfId="1" applyFont="1" applyFill="1" applyBorder="1" applyAlignment="1">
      <alignment horizontal="center" vertical="center"/>
    </xf>
    <xf numFmtId="0" fontId="5" fillId="0" borderId="34" xfId="1" applyFont="1" applyFill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4" fillId="0" borderId="39" xfId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5" fillId="26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0" fillId="0" borderId="2" xfId="0" applyBorder="1"/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94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30B11"/>
      <color rgb="FFDD4B4B"/>
      <color rgb="FFE095F5"/>
      <color rgb="FFFFD1D1"/>
      <color rgb="FFFAB0B0"/>
      <color rgb="FFEF5F5F"/>
      <color rgb="FFAF6CF8"/>
      <color rgb="FFCC00FF"/>
      <color rgb="FF61953D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1798</xdr:colOff>
      <xdr:row>2</xdr:row>
      <xdr:rowOff>146914</xdr:rowOff>
    </xdr:from>
    <xdr:to>
      <xdr:col>31</xdr:col>
      <xdr:colOff>58948</xdr:colOff>
      <xdr:row>26</xdr:row>
      <xdr:rowOff>61189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2841498" y="823189"/>
          <a:ext cx="4391025" cy="6038850"/>
          <a:chOff x="12198569" y="893379"/>
          <a:chExt cx="4385482" cy="5946542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7" spid="_x0000_s3577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385482" cy="594654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89146" y="3177709"/>
            <a:ext cx="899153" cy="354497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27802" y="3177708"/>
            <a:ext cx="899153" cy="354497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85584" y="4993748"/>
            <a:ext cx="899153" cy="354497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14</xdr:col>
      <xdr:colOff>9447</xdr:colOff>
      <xdr:row>6</xdr:row>
      <xdr:rowOff>19817</xdr:rowOff>
    </xdr:from>
    <xdr:to>
      <xdr:col>16</xdr:col>
      <xdr:colOff>14537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44047" y="1867667"/>
          <a:ext cx="500390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3970550</xdr:colOff>
      <xdr:row>3</xdr:row>
      <xdr:rowOff>18214</xdr:rowOff>
    </xdr:from>
    <xdr:to>
      <xdr:col>5</xdr:col>
      <xdr:colOff>178124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3970550</xdr:colOff>
      <xdr:row>6</xdr:row>
      <xdr:rowOff>257916</xdr:rowOff>
    </xdr:from>
    <xdr:to>
      <xdr:col>5</xdr:col>
      <xdr:colOff>178124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622001</xdr:colOff>
      <xdr:row>6</xdr:row>
      <xdr:rowOff>16743</xdr:rowOff>
    </xdr:from>
    <xdr:to>
      <xdr:col>4</xdr:col>
      <xdr:colOff>3853409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622001</xdr:colOff>
      <xdr:row>3</xdr:row>
      <xdr:rowOff>18214</xdr:rowOff>
    </xdr:from>
    <xdr:to>
      <xdr:col>4</xdr:col>
      <xdr:colOff>3853409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4457173</xdr:colOff>
      <xdr:row>3</xdr:row>
      <xdr:rowOff>2842</xdr:rowOff>
    </xdr:from>
    <xdr:to>
      <xdr:col>4</xdr:col>
      <xdr:colOff>4751336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11</xdr:col>
          <xdr:colOff>762000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2</xdr:row>
          <xdr:rowOff>180975</xdr:rowOff>
        </xdr:from>
        <xdr:to>
          <xdr:col>12</xdr:col>
          <xdr:colOff>123825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4648200</xdr:colOff>
          <xdr:row>10</xdr:row>
          <xdr:rowOff>66675</xdr:rowOff>
        </xdr:from>
        <xdr:to>
          <xdr:col>4</xdr:col>
          <xdr:colOff>4933950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A62" totalsRowShown="0" headerRowDxfId="84" dataDxfId="82" headerRowBorderDxfId="83" tableBorderDxfId="81">
  <autoFilter ref="B11:AA62" xr:uid="{79DE02F8-A7E4-4E62-A88C-FB36C786FBA6}"/>
  <sortState xmlns:xlrd2="http://schemas.microsoft.com/office/spreadsheetml/2017/richdata2" ref="B12:AA62">
    <sortCondition ref="AA12:AA62"/>
  </sortState>
  <tableColumns count="26">
    <tableColumn id="1" xr3:uid="{A24D5FA6-E447-4A60-BA76-E48B47DF6268}" name="Numero" dataDxfId="80"/>
    <tableColumn id="5" xr3:uid="{41D6DF65-D806-4685-B39B-97EEEBC6388E}" name="Codigo" dataDxfId="79"/>
    <tableColumn id="22" xr3:uid="{3E504640-98A8-4713-94D4-B026959A359F}" name="Nivel" dataDxfId="78"/>
    <tableColumn id="2" xr3:uid="{F93819E9-0871-4C42-AF48-CDBD4E884339}" name="Materia" dataDxfId="77"/>
    <tableColumn id="6" xr3:uid="{772036BF-1C2E-4AD0-985E-565A762A39C4}" name="Icono" dataDxfId="76">
      <calculatedColumnFormula>_xlfn.XLOOKUP(Tabla1[[#This Row],[Estado]],Control!$C$33:$C$35,Control!$B$33:$B$35,"")</calculatedColumnFormula>
    </tableColumn>
    <tableColumn id="10" xr3:uid="{474D2529-3166-45BF-8B3E-D040442EFC54}" name="Estado" dataDxfId="75"/>
    <tableColumn id="4" xr3:uid="{9F7C669A-5795-4BB7-8E16-3107D2BFF0BE}" name="Nota" dataDxfId="74"/>
    <tableColumn id="3" xr3:uid="{3702BBEF-C11E-4D4E-BC12-4BD2121D3EC8}" name="Modalidad" dataDxfId="73"/>
    <tableColumn id="17" xr3:uid="{22536584-898D-4A19-8480-D3342C257AFD}" name="Cursar" dataDxfId="72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calculatedColumnFormula>
    </tableColumn>
    <tableColumn id="18" xr3:uid="{4B13752F-4D7C-4A1D-B36C-54BA596A3010}" name="Electiva" dataDxfId="71"/>
    <tableColumn id="21" xr3:uid="{D641437E-3737-44F7-9A53-4CE116B1C4C8}" name="Carga Horaria" dataDxfId="70"/>
    <tableColumn id="8" xr3:uid="{94D1AD21-C77F-4D00-91E2-B914785E3402}" name="R1" dataDxfId="69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68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67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5" xr3:uid="{33B558C3-CB4F-443F-B2EE-7862015A47F0}" name="R4" dataDxfId="66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24" xr3:uid="{7EEB8627-705C-4ED9-8D27-E718FA16B435}" name="R5" dataDxfId="65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2" xr3:uid="{15F19C93-1E23-4EC9-8F6A-BCF6F03A24EB}" name="R6" dataDxfId="64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13" xr3:uid="{43717CD1-6668-4EF7-8BF8-6C1843CB6E18}" name="A1" dataDxfId="63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62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15" xr3:uid="{0AA50233-9BFE-41CB-937A-9DA4946D1B7B}" name="A3" dataDxfId="61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6" xr3:uid="{DFC0F7FD-69F2-493D-AA8E-97F01F1C701D}" name="A4" dataDxfId="60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7" xr3:uid="{0839EB4A-A073-49F3-B903-94F2E2E38206}" name="A5" dataDxfId="59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16" xr3:uid="{1494389C-7B43-4ABE-AB29-970D62EEE7E7}" name="A6" dataDxfId="58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19" xr3:uid="{BAD87C3B-EAD5-499D-A8F5-51BE0B89B7BC}" name="HALLAR" dataDxfId="57" dataCellStyle="60% - Énfasis4">
      <calculatedColumnFormula>ISNUMBER(SEARCH($H$4,Tabla1[[#This Row],[Materia]],1))</calculatedColumnFormula>
    </tableColumn>
    <tableColumn id="20" xr3:uid="{BE35400B-14F7-472D-AD27-BDFC43C0D8E5}" name="FILTRAR" dataDxfId="56" dataCellStyle="60% - Énfasis4">
      <calculatedColumnFormula>IFERROR(IF(
    (COUNTIF(Tabla1[[#This Row],[R1]:[A6]], _xlfn.XLOOKUP($H$4,Tabla1[Materia],Tabla1[Numero],""))) &gt; 0,
    TRUE,
    FALSE
),FALSE)</calculatedColumnFormula>
    </tableColumn>
    <tableColumn id="23" xr3:uid="{3B88E2D4-65F2-41F5-8161-896AECC66145}" name="ORDEN" dataDxfId="55">
      <calculatedColumnFormula>ROW()-ROW(Tabla1[[#Headers],[ORDEN]])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54:C61" totalsRowShown="0" dataDxfId="54">
  <autoFilter ref="C54:C61" xr:uid="{CBA2A550-1C17-438E-B7AC-1C04EE1EC366}"/>
  <tableColumns count="1">
    <tableColumn id="1" xr3:uid="{292F7581-8B8A-42E5-9D14-32453948C535}" name="Modalidades" dataDxfId="5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5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54:E59" totalsRowShown="0" headerRowDxfId="51" dataDxfId="50">
  <autoFilter ref="E54:E59" xr:uid="{AB6D7178-77C8-4DA5-B6DE-B06FAD275BEA}"/>
  <tableColumns count="1">
    <tableColumn id="1" xr3:uid="{9DB72B6D-3F22-444F-B143-8516B642D8BA}" name="Nivel" dataDxfId="4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54:G56" totalsRowShown="0" headerRowDxfId="48" dataDxfId="47">
  <autoFilter ref="G54:G56" xr:uid="{2EA6BD66-6D35-4631-BCD0-86FF5A39F5A6}"/>
  <tableColumns count="1">
    <tableColumn id="1" xr3:uid="{7C9497DB-1FDE-4105-98A6-3191782FF11A}" name="Año de Ingreso" dataDxfId="4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76:Y96" totalsRowShown="0" headerRowDxfId="45" dataDxfId="44">
  <autoFilter ref="M76:Y96" xr:uid="{6BABA9D5-C5AE-41C6-A2A8-AE20FFDFED15}"/>
  <sortState xmlns:xlrd2="http://schemas.microsoft.com/office/spreadsheetml/2017/richdata2" ref="M77:Y96">
    <sortCondition ref="M76:M96"/>
  </sortState>
  <tableColumns count="13">
    <tableColumn id="1" xr3:uid="{00BF462B-29DC-4F0F-AD75-42A7085C8D39}" name="Codigo" dataDxfId="43"/>
    <tableColumn id="2" xr3:uid="{EB98CCD7-978D-4FAC-B396-C3980B1B323A}" name="R1" dataDxfId="42"/>
    <tableColumn id="3" xr3:uid="{D3D02AA4-49CE-4B9B-9193-01046C0C2C2B}" name="R2" dataDxfId="41"/>
    <tableColumn id="4" xr3:uid="{8E99CDB2-2208-49A5-B50E-D1E76EC96092}" name="R3" dataDxfId="40"/>
    <tableColumn id="5" xr3:uid="{4B18780F-C7BB-4228-852E-6207F3E4B004}" name="R4" dataDxfId="39"/>
    <tableColumn id="6" xr3:uid="{7C8D4E0E-D695-4A72-A2EF-2E757958F421}" name="R5" dataDxfId="38"/>
    <tableColumn id="7" xr3:uid="{0C0D715A-2019-4F34-B1B5-E8D92A6FD8E2}" name="R6" dataDxfId="37"/>
    <tableColumn id="8" xr3:uid="{E44A78C6-A9CC-49AC-859A-DC8A53347E7D}" name="A1" dataDxfId="36"/>
    <tableColumn id="9" xr3:uid="{D09794ED-28A8-4269-94EB-9AFE8E51B3CE}" name="A2" dataDxfId="35"/>
    <tableColumn id="10" xr3:uid="{A8CC993A-AB22-4930-93A1-F34BFDA0E565}" name="A3" dataDxfId="34"/>
    <tableColumn id="11" xr3:uid="{CC7A602D-E621-4F60-9EC5-1358B319D33C}" name="A4" dataDxfId="33"/>
    <tableColumn id="12" xr3:uid="{6A5C6728-C89E-4772-AE06-0A690938E1E9}" name="A5" dataDxfId="32"/>
    <tableColumn id="13" xr3:uid="{5F9A8994-BC55-403F-9A93-24F08E2AF451}" name="A6" dataDxfId="31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99:Y131" totalsRowShown="0" headerRowDxfId="30" dataDxfId="28" headerRowBorderDxfId="29">
  <autoFilter ref="M99:Y131" xr:uid="{6DDA878B-8FB3-461B-AC35-2511A2B3ECF5}"/>
  <sortState xmlns:xlrd2="http://schemas.microsoft.com/office/spreadsheetml/2017/richdata2" ref="M100:Y131">
    <sortCondition ref="M99:M131"/>
  </sortState>
  <tableColumns count="13">
    <tableColumn id="1" xr3:uid="{E87F0A87-4CCB-48F3-9805-37B0E4F0ED13}" name="Codigo" dataDxfId="27"/>
    <tableColumn id="2" xr3:uid="{F951F42E-B6C6-451B-AA18-2EA4CF47D104}" name="R1" dataDxfId="26"/>
    <tableColumn id="3" xr3:uid="{2B2B3E23-6706-4E44-8879-1CDAECB8B925}" name="R2" dataDxfId="25"/>
    <tableColumn id="4" xr3:uid="{D70289A5-845C-4C0B-AF0C-99A642E31E90}" name="R3" dataDxfId="24"/>
    <tableColumn id="5" xr3:uid="{83E2A021-2B00-4B0B-854E-1274AF7467D1}" name="R4" dataDxfId="23"/>
    <tableColumn id="6" xr3:uid="{853CAB49-3AFA-485D-928D-16D1DA623475}" name="R5" dataDxfId="22"/>
    <tableColumn id="7" xr3:uid="{E6023B34-E7DD-4350-9CA8-5154C6039DBD}" name="R6" dataDxfId="21"/>
    <tableColumn id="8" xr3:uid="{E373BB62-16EF-44BB-B704-95E87D402E25}" name="A1" dataDxfId="20"/>
    <tableColumn id="9" xr3:uid="{B5F769DF-DE27-4977-BF43-3C40CF2D8B5F}" name="A2" dataDxfId="19"/>
    <tableColumn id="10" xr3:uid="{9EE88320-F098-4927-9AEF-D748F86748FE}" name="A3" dataDxfId="18"/>
    <tableColumn id="11" xr3:uid="{B1579CF4-4AAC-4E17-B0C2-326AF31E9234}" name="A4" dataDxfId="17"/>
    <tableColumn id="12" xr3:uid="{7214AF46-4CEF-4683-AB7A-C48DE4C38418}" name="A5" dataDxfId="16"/>
    <tableColumn id="13" xr3:uid="{EEF1CC56-A82C-468C-B35E-43CAE02D8CA4}" name="A6" dataDxfId="1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A76:AM96" totalsRowShown="0" headerRowDxfId="14" dataDxfId="13">
  <autoFilter ref="AA76:AM96" xr:uid="{4C56D2EE-1D4E-45AA-866D-BD3E74377AC6}"/>
  <sortState xmlns:xlrd2="http://schemas.microsoft.com/office/spreadsheetml/2017/richdata2" ref="AA77:AM96">
    <sortCondition ref="AA76:AA96"/>
  </sortState>
  <tableColumns count="13">
    <tableColumn id="1" xr3:uid="{649422C5-B7DF-4E6B-88D5-1B5151D106A1}" name="Codigo" dataDxfId="12"/>
    <tableColumn id="2" xr3:uid="{B0669C20-77C3-4271-BB64-BA5AD70F5EA4}" name="R1" dataDxfId="11"/>
    <tableColumn id="3" xr3:uid="{6F6F9001-54E0-4298-BBE8-40AAB0B6B5E2}" name="R2" dataDxfId="10"/>
    <tableColumn id="4" xr3:uid="{BAD2B660-ACF8-4AB4-AB57-28E9332E6D61}" name="R3" dataDxfId="9"/>
    <tableColumn id="5" xr3:uid="{D90491D1-A8FF-40CC-853D-B4E88B808B65}" name="R4" dataDxfId="8"/>
    <tableColumn id="6" xr3:uid="{53A4E746-E6B7-47A5-BE78-24132436BFB6}" name="R5" dataDxfId="7"/>
    <tableColumn id="7" xr3:uid="{2BE25757-308C-4CA1-9642-CEAAF6E3AC7C}" name="R6" dataDxfId="6"/>
    <tableColumn id="8" xr3:uid="{7FCA6414-D3D1-439F-9E91-71295C0B1BB0}" name="A1" dataDxfId="5"/>
    <tableColumn id="9" xr3:uid="{F413DB55-65DB-43DD-909F-284729B0D8ED}" name="A2" dataDxfId="4"/>
    <tableColumn id="10" xr3:uid="{F2A130E3-F11D-4A07-9BAA-35873498C905}" name="A3" dataDxfId="3"/>
    <tableColumn id="11" xr3:uid="{E1ADA063-8A86-4C96-AD6A-A99513070989}" name="A4" dataDxfId="2"/>
    <tableColumn id="12" xr3:uid="{4406F216-6887-43A1-B303-F5C7B3EE71BB}" name="A5" dataDxfId="1"/>
    <tableColumn id="13" xr3:uid="{04CE42EF-EAEB-4C36-87F6-1494A618BA12}" name="A6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P114"/>
  <sheetViews>
    <sheetView showGridLines="0" showRowColHeaders="0" tabSelected="1" zoomScaleNormal="100" workbookViewId="0">
      <selection activeCell="U6" sqref="U6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8.42578125" customWidth="1"/>
    <col min="6" max="6" width="4.85546875" customWidth="1"/>
    <col min="7" max="7" width="12.85546875" customWidth="1"/>
    <col min="8" max="8" width="6.28515625" customWidth="1"/>
    <col min="9" max="9" width="11.7109375" customWidth="1"/>
    <col min="10" max="10" width="7.140625" customWidth="1"/>
    <col min="11" max="11" width="8.28515625" hidden="1" customWidth="1"/>
    <col min="12" max="12" width="11.5703125" customWidth="1"/>
    <col min="13" max="24" width="3.7109375" customWidth="1"/>
    <col min="25" max="25" width="13" hidden="1" customWidth="1"/>
    <col min="26" max="26" width="13.42578125" hidden="1" customWidth="1"/>
    <col min="27" max="27" width="12.5703125" hidden="1" customWidth="1"/>
    <col min="28" max="28" width="3.42578125" customWidth="1"/>
    <col min="29" max="29" width="1.42578125" customWidth="1"/>
    <col min="30" max="30" width="17.85546875" customWidth="1"/>
    <col min="31" max="31" width="45.7109375" customWidth="1"/>
    <col min="32" max="32" width="4.7109375" customWidth="1"/>
    <col min="33" max="33" width="3.28515625" hidden="1" customWidth="1"/>
    <col min="34" max="35" width="12" hidden="1" customWidth="1"/>
    <col min="36" max="57" width="9.140625" hidden="1" customWidth="1"/>
    <col min="58" max="58" width="30.28515625" hidden="1" customWidth="1"/>
    <col min="59" max="59" width="29.7109375" hidden="1" customWidth="1"/>
    <col min="60" max="60" width="28.85546875" hidden="1" customWidth="1"/>
    <col min="61" max="61" width="19.42578125" hidden="1" customWidth="1"/>
    <col min="62" max="62" width="13.28515625" hidden="1" customWidth="1"/>
    <col min="63" max="63" width="16.28515625" hidden="1" customWidth="1"/>
    <col min="64" max="64" width="15.42578125" hidden="1" customWidth="1"/>
    <col min="65" max="65" width="18.5703125" hidden="1" customWidth="1"/>
    <col min="66" max="66" width="25" hidden="1" customWidth="1"/>
    <col min="67" max="67" width="19" hidden="1" customWidth="1"/>
    <col min="68" max="68" width="14.28515625" hidden="1" customWidth="1"/>
    <col min="69" max="16384" width="11.42578125" hidden="1"/>
  </cols>
  <sheetData>
    <row r="1" spans="1:65" x14ac:dyDescent="0.25">
      <c r="J1" s="19"/>
      <c r="K1" s="19"/>
      <c r="L1" s="19"/>
    </row>
    <row r="2" spans="1:65" ht="38.25" customHeight="1" x14ac:dyDescent="0.25">
      <c r="B2" s="241" t="s">
        <v>93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Z2" s="115"/>
      <c r="AD2" s="165" t="s">
        <v>39</v>
      </c>
      <c r="AE2" s="164" t="s">
        <v>57</v>
      </c>
      <c r="AF2" s="199"/>
    </row>
    <row r="3" spans="1:65" ht="15" customHeight="1" thickBot="1" x14ac:dyDescent="0.3">
      <c r="A3" s="21"/>
      <c r="B3" s="52"/>
      <c r="C3" s="52"/>
      <c r="D3" s="52"/>
      <c r="E3" s="52"/>
      <c r="F3" s="52"/>
      <c r="G3" s="52"/>
      <c r="H3" s="52"/>
      <c r="I3" s="52"/>
      <c r="J3" s="46"/>
      <c r="S3" s="22"/>
      <c r="Z3" s="50"/>
      <c r="AA3" s="50"/>
      <c r="AB3" s="51"/>
      <c r="AC3" s="51"/>
      <c r="AD3" s="51"/>
      <c r="AE3" s="51"/>
      <c r="AF3" s="51"/>
      <c r="AG3" s="51"/>
    </row>
    <row r="4" spans="1:65" ht="31.5" customHeight="1" thickBot="1" x14ac:dyDescent="0.3">
      <c r="A4" s="17"/>
      <c r="B4" s="46"/>
      <c r="C4" s="46"/>
      <c r="D4" s="46"/>
      <c r="E4" s="46"/>
      <c r="F4" s="46"/>
      <c r="G4" s="58" t="s">
        <v>1</v>
      </c>
      <c r="H4" s="239"/>
      <c r="I4" s="239"/>
      <c r="J4" s="239"/>
      <c r="K4" s="240"/>
      <c r="L4" s="239"/>
      <c r="M4" s="122"/>
      <c r="Q4" s="242" t="s">
        <v>84</v>
      </c>
      <c r="R4" s="243"/>
      <c r="S4" s="244"/>
      <c r="T4" s="245" t="s">
        <v>85</v>
      </c>
      <c r="U4" s="246"/>
      <c r="AD4" s="51"/>
      <c r="AE4" s="51"/>
      <c r="AF4" s="51"/>
      <c r="AG4" s="51"/>
    </row>
    <row r="5" spans="1:65" s="91" customFormat="1" ht="29.25" customHeight="1" thickBot="1" x14ac:dyDescent="0.3">
      <c r="A5" s="90"/>
      <c r="B5" s="46"/>
      <c r="C5" s="46"/>
      <c r="D5" s="46"/>
      <c r="E5" s="46"/>
      <c r="F5" s="46"/>
      <c r="G5" s="57" t="s">
        <v>80</v>
      </c>
      <c r="H5" s="187" t="s">
        <v>62</v>
      </c>
      <c r="N5" s="46"/>
      <c r="O5" s="46"/>
      <c r="AD5" s="96"/>
    </row>
    <row r="6" spans="1:65" s="91" customFormat="1" ht="16.5" customHeight="1" thickBot="1" x14ac:dyDescent="0.3">
      <c r="A6" s="90"/>
      <c r="B6" s="46"/>
      <c r="C6" s="46"/>
      <c r="D6" s="46"/>
      <c r="E6" s="46"/>
      <c r="F6" s="46"/>
      <c r="G6" s="46"/>
      <c r="N6" s="46"/>
      <c r="O6" s="46"/>
      <c r="P6" s="46"/>
      <c r="Q6" s="46"/>
      <c r="R6" s="46"/>
      <c r="S6" s="92"/>
    </row>
    <row r="7" spans="1:65" s="91" customFormat="1" ht="28.5" customHeight="1" thickBot="1" x14ac:dyDescent="0.3">
      <c r="A7" s="90"/>
      <c r="C7" s="46"/>
      <c r="D7" s="46"/>
      <c r="E7" s="46"/>
      <c r="F7" s="46"/>
      <c r="G7" s="254" t="s">
        <v>60</v>
      </c>
      <c r="H7" s="255"/>
      <c r="I7" s="255"/>
      <c r="J7" s="255"/>
      <c r="K7" s="255"/>
      <c r="L7" s="256"/>
      <c r="N7" s="55"/>
      <c r="O7" s="46"/>
      <c r="P7" s="46"/>
      <c r="Q7" s="46"/>
      <c r="R7" s="46"/>
      <c r="S7" s="92"/>
      <c r="AD7" s="96"/>
    </row>
    <row r="8" spans="1:65" s="91" customFormat="1" ht="33" customHeight="1" thickBot="1" x14ac:dyDescent="0.3">
      <c r="A8" s="90"/>
      <c r="B8" s="46"/>
      <c r="C8" s="46"/>
      <c r="D8" s="46"/>
      <c r="E8" s="46"/>
      <c r="F8" s="46"/>
      <c r="G8" s="56" t="s">
        <v>81</v>
      </c>
      <c r="H8" s="249" t="s">
        <v>82</v>
      </c>
      <c r="I8" s="251"/>
      <c r="J8" s="249" t="s">
        <v>83</v>
      </c>
      <c r="K8" s="250"/>
      <c r="L8" s="251"/>
      <c r="N8" s="46"/>
      <c r="O8" s="46"/>
      <c r="P8" s="46"/>
      <c r="Q8" s="46"/>
      <c r="R8" s="46"/>
      <c r="S8" s="92"/>
      <c r="BF8" s="97"/>
      <c r="BG8" s="97"/>
      <c r="BH8" s="97"/>
      <c r="BI8" s="97"/>
      <c r="BJ8" s="97"/>
      <c r="BK8" s="97"/>
    </row>
    <row r="9" spans="1:65" ht="21" customHeight="1" thickBot="1" x14ac:dyDescent="0.3">
      <c r="A9" s="17"/>
      <c r="B9" s="19"/>
      <c r="E9" s="19"/>
      <c r="G9" s="54">
        <f xml:space="preserve"> SUMIFS(Tabla1[Carga Horaria], Tabla1[Estado], "&lt;&gt;Aprobado", Tabla1[Estado], "&lt;&gt;Regular", Tabla1[Materia], "&lt;&gt;Seminario", Tabla1[Materia], "&lt;&gt;Práctica Profesional Supervisada", Tabla1[Electiva], "NO")</f>
        <v>284</v>
      </c>
      <c r="H9" s="247" t="str">
        <f>IF(
   SUMIFS(Tabla1[Carga Horaria], Tabla1[Estado], "&lt;&gt;Aprobado", Tabla1[Estado], "&lt;&gt;Regular", Tabla1[Electiva], "NO") &lt;= 30,
   "SI", "NO")</f>
        <v>NO</v>
      </c>
      <c r="I9" s="248"/>
      <c r="J9" s="252" t="s">
        <v>62</v>
      </c>
      <c r="K9" s="253"/>
      <c r="L9" s="253"/>
      <c r="M9" s="257" t="s">
        <v>4</v>
      </c>
      <c r="N9" s="258"/>
      <c r="O9" s="258"/>
      <c r="P9" s="258"/>
      <c r="Q9" s="258"/>
      <c r="R9" s="258"/>
      <c r="S9" s="258"/>
      <c r="T9" s="258"/>
      <c r="U9" s="258"/>
      <c r="V9" s="258"/>
      <c r="W9" s="259"/>
      <c r="X9" s="260"/>
      <c r="Y9" s="231"/>
      <c r="Z9" s="19"/>
      <c r="AA9" s="19"/>
      <c r="AB9" s="19"/>
      <c r="AC9" s="19"/>
      <c r="BF9" s="15"/>
      <c r="BG9" s="15"/>
      <c r="BH9" s="15"/>
      <c r="BI9" s="15"/>
      <c r="BJ9" s="15"/>
      <c r="BK9" s="15"/>
    </row>
    <row r="10" spans="1:65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M10" s="232" t="s">
        <v>44</v>
      </c>
      <c r="N10" s="233"/>
      <c r="O10" s="233"/>
      <c r="P10" s="233"/>
      <c r="Q10" s="233"/>
      <c r="R10" s="234"/>
      <c r="S10" s="235" t="s">
        <v>12</v>
      </c>
      <c r="T10" s="236"/>
      <c r="U10" s="236"/>
      <c r="V10" s="236"/>
      <c r="W10" s="237"/>
      <c r="X10" s="238"/>
      <c r="Y10" s="201"/>
      <c r="Z10" s="201"/>
      <c r="AA10" s="19"/>
      <c r="AB10" s="19"/>
      <c r="AC10" s="19"/>
      <c r="BF10" s="15"/>
      <c r="BG10" s="15"/>
      <c r="BH10" s="15"/>
      <c r="BI10" s="15"/>
      <c r="BJ10" s="15"/>
      <c r="BK10" s="15"/>
    </row>
    <row r="11" spans="1:65" s="6" customFormat="1" ht="31.5" customHeight="1" thickBot="1" x14ac:dyDescent="0.3">
      <c r="A11" s="24"/>
      <c r="B11" s="226" t="s">
        <v>0</v>
      </c>
      <c r="C11" s="226" t="s">
        <v>59</v>
      </c>
      <c r="D11" s="226" t="s">
        <v>58</v>
      </c>
      <c r="E11" s="226" t="s">
        <v>1</v>
      </c>
      <c r="F11" s="227" t="s">
        <v>65</v>
      </c>
      <c r="G11" s="226" t="s">
        <v>68</v>
      </c>
      <c r="H11" s="226" t="s">
        <v>37</v>
      </c>
      <c r="I11" s="226" t="s">
        <v>2</v>
      </c>
      <c r="J11" s="226" t="s">
        <v>64</v>
      </c>
      <c r="K11" s="226" t="s">
        <v>67</v>
      </c>
      <c r="L11" s="226" t="s">
        <v>71</v>
      </c>
      <c r="M11" s="228" t="s">
        <v>51</v>
      </c>
      <c r="N11" s="229" t="s">
        <v>45</v>
      </c>
      <c r="O11" s="229" t="s">
        <v>46</v>
      </c>
      <c r="P11" s="229" t="s">
        <v>47</v>
      </c>
      <c r="Q11" s="229" t="s">
        <v>104</v>
      </c>
      <c r="R11" s="229" t="s">
        <v>105</v>
      </c>
      <c r="S11" s="230" t="s">
        <v>52</v>
      </c>
      <c r="T11" s="229" t="s">
        <v>48</v>
      </c>
      <c r="U11" s="229" t="s">
        <v>49</v>
      </c>
      <c r="V11" s="229" t="s">
        <v>50</v>
      </c>
      <c r="W11" s="229" t="s">
        <v>106</v>
      </c>
      <c r="X11" s="229" t="s">
        <v>145</v>
      </c>
      <c r="Y11" s="132" t="s">
        <v>70</v>
      </c>
      <c r="Z11" s="132" t="s">
        <v>72</v>
      </c>
      <c r="AA11" s="133" t="s">
        <v>91</v>
      </c>
      <c r="AF11" s="19"/>
      <c r="AG11" s="19"/>
      <c r="AH11" s="20"/>
      <c r="BH11" s="14"/>
      <c r="BI11" s="14"/>
      <c r="BJ11" s="14"/>
      <c r="BK11" s="14"/>
      <c r="BL11" s="14"/>
      <c r="BM11" s="14"/>
    </row>
    <row r="12" spans="1:65" ht="17.25" customHeight="1" x14ac:dyDescent="0.25">
      <c r="A12" s="17"/>
      <c r="B12" s="137">
        <v>1</v>
      </c>
      <c r="C12" s="166">
        <v>1</v>
      </c>
      <c r="D12" s="137" t="s">
        <v>73</v>
      </c>
      <c r="E12" s="144" t="s">
        <v>92</v>
      </c>
      <c r="F12" s="137" t="str">
        <f>_xlfn.XLOOKUP(Tabla1[[#This Row],[Estado]],Control!$C$33:$C$35,Control!$B$33:$B$35,"")</f>
        <v/>
      </c>
      <c r="G12" s="148"/>
      <c r="H12" s="176"/>
      <c r="I12" s="137" t="s">
        <v>15</v>
      </c>
      <c r="J12" s="15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2" s="152" t="s">
        <v>62</v>
      </c>
      <c r="L12" s="152">
        <v>6</v>
      </c>
      <c r="M12" s="15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2" s="15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2" s="15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2" s="15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2" s="15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2" s="15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2" s="15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2" s="15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2" s="15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2" s="13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2" s="13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2" s="13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2" s="111" t="b">
        <f>ISNUMBER(SEARCH($H$4,Tabla1[[#This Row],[Materia]],1))</f>
        <v>1</v>
      </c>
      <c r="Z12" s="111" t="b">
        <f>IFERROR(IF(
    (COUNTIF(Tabla1[[#This Row],[R1]:[A6]], _xlfn.XLOOKUP($H$4,Tabla1[Materia],Tabla1[Numero],""))) &gt; 0,
    TRUE,
    FALSE
),FALSE)</f>
        <v>0</v>
      </c>
      <c r="AA12" s="113">
        <v>1</v>
      </c>
      <c r="AB12" s="19"/>
      <c r="AC12" s="19"/>
      <c r="AD12" s="19"/>
      <c r="AE12" s="19"/>
      <c r="AG12" s="19"/>
      <c r="AH12" s="19"/>
      <c r="BH12" s="15"/>
      <c r="BI12" s="15"/>
      <c r="BJ12" s="15"/>
      <c r="BK12" s="15"/>
      <c r="BL12" s="15"/>
      <c r="BM12" s="15"/>
    </row>
    <row r="13" spans="1:65" ht="17.25" customHeight="1" x14ac:dyDescent="0.25">
      <c r="A13" s="17"/>
      <c r="B13" s="11">
        <v>2</v>
      </c>
      <c r="C13" s="167">
        <v>2</v>
      </c>
      <c r="D13" s="11" t="s">
        <v>73</v>
      </c>
      <c r="E13" s="63" t="s">
        <v>25</v>
      </c>
      <c r="F13" s="11" t="str">
        <f>_xlfn.XLOOKUP(Tabla1[[#This Row],[Estado]],Control!$C$33:$C$35,Control!$B$33:$B$35,"")</f>
        <v/>
      </c>
      <c r="G13" s="116"/>
      <c r="H13" s="177"/>
      <c r="I13" s="11" t="s">
        <v>15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3" s="11" t="s">
        <v>62</v>
      </c>
      <c r="L13" s="11">
        <v>4</v>
      </c>
      <c r="M13" s="7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3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3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3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3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3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3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3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3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3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3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3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3" s="111" t="b">
        <f>ISNUMBER(SEARCH($H$4,Tabla1[[#This Row],[Materia]],1))</f>
        <v>1</v>
      </c>
      <c r="Z13" s="111" t="b">
        <f>IFERROR(IF(
    (COUNTIF(Tabla1[[#This Row],[R1]:[A6]], _xlfn.XLOOKUP($H$4,Tabla1[Materia],Tabla1[Numero],""))) &gt; 0,
    TRUE,
    FALSE
),FALSE)</f>
        <v>0</v>
      </c>
      <c r="AA13" s="113">
        <v>2</v>
      </c>
      <c r="AB13" s="19"/>
      <c r="AE13" s="19"/>
      <c r="AF13" s="19"/>
      <c r="AG13" s="19"/>
      <c r="AH13" s="19"/>
    </row>
    <row r="14" spans="1:65" ht="17.25" customHeight="1" x14ac:dyDescent="0.25">
      <c r="A14" s="17"/>
      <c r="B14" s="11">
        <v>3</v>
      </c>
      <c r="C14" s="167">
        <v>3</v>
      </c>
      <c r="D14" s="11" t="s">
        <v>73</v>
      </c>
      <c r="E14" s="63" t="s">
        <v>24</v>
      </c>
      <c r="F14" s="11" t="str">
        <f>_xlfn.XLOOKUP(Tabla1[[#This Row],[Estado]],Control!$C$33:$C$35,Control!$B$33:$B$35,"")</f>
        <v/>
      </c>
      <c r="G14" s="116"/>
      <c r="H14" s="177"/>
      <c r="I14" s="11" t="s">
        <v>15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4" s="11" t="s">
        <v>62</v>
      </c>
      <c r="L14" s="11">
        <v>10</v>
      </c>
      <c r="M14" s="7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4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4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4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4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4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4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4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4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4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4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4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4" s="111" t="b">
        <f>ISNUMBER(SEARCH($H$4,Tabla1[[#This Row],[Materia]],1))</f>
        <v>1</v>
      </c>
      <c r="Z14" s="111" t="b">
        <f>IFERROR(IF(
    (COUNTIF(Tabla1[[#This Row],[R1]:[A6]], _xlfn.XLOOKUP($H$4,Tabla1[Materia],Tabla1[Numero],""))) &gt; 0,
    TRUE,
    FALSE
),FALSE)</f>
        <v>0</v>
      </c>
      <c r="AA14" s="113">
        <v>3</v>
      </c>
      <c r="AB14" s="19"/>
      <c r="AC14" s="19"/>
      <c r="AD14" s="19"/>
      <c r="AF14" s="19"/>
      <c r="AG14" s="19"/>
      <c r="AH14" s="19"/>
      <c r="AI14" s="19"/>
      <c r="AJ14" s="23"/>
    </row>
    <row r="15" spans="1:65" ht="17.25" customHeight="1" x14ac:dyDescent="0.25">
      <c r="A15" s="17"/>
      <c r="B15" s="11">
        <v>4</v>
      </c>
      <c r="C15" s="167">
        <v>4</v>
      </c>
      <c r="D15" s="11" t="s">
        <v>73</v>
      </c>
      <c r="E15" s="63" t="s">
        <v>136</v>
      </c>
      <c r="F15" s="11" t="str">
        <f>_xlfn.XLOOKUP(Tabla1[[#This Row],[Estado]],Control!$C$33:$C$35,Control!$B$33:$B$35,"")</f>
        <v/>
      </c>
      <c r="G15" s="116"/>
      <c r="H15" s="177"/>
      <c r="I15" s="11" t="s">
        <v>15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5" s="11" t="s">
        <v>62</v>
      </c>
      <c r="L15" s="11">
        <v>10</v>
      </c>
      <c r="M15" s="7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5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5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5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5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5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5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5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5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5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5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5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5" s="111" t="b">
        <f>ISNUMBER(SEARCH($H$4,Tabla1[[#This Row],[Materia]],1))</f>
        <v>1</v>
      </c>
      <c r="Z15" s="111" t="b">
        <f>IFERROR(IF(
    (COUNTIF(Tabla1[[#This Row],[R1]:[A6]], _xlfn.XLOOKUP($H$4,Tabla1[Materia],Tabla1[Numero],""))) &gt; 0,
    TRUE,
    FALSE
),FALSE)</f>
        <v>0</v>
      </c>
      <c r="AA15" s="113">
        <v>4</v>
      </c>
      <c r="AB15" s="19"/>
      <c r="AC15" s="19"/>
      <c r="AD15" s="19"/>
      <c r="AE15" s="19"/>
    </row>
    <row r="16" spans="1:65" ht="17.25" customHeight="1" x14ac:dyDescent="0.25">
      <c r="A16" s="17"/>
      <c r="B16" s="11">
        <v>6</v>
      </c>
      <c r="C16" s="167">
        <v>6</v>
      </c>
      <c r="D16" s="11" t="s">
        <v>73</v>
      </c>
      <c r="E16" s="63" t="s">
        <v>94</v>
      </c>
      <c r="F16" s="11" t="str">
        <f>_xlfn.XLOOKUP(Tabla1[[#This Row],[Estado]],Control!$C$33:$C$35,Control!$B$33:$B$35,"")</f>
        <v/>
      </c>
      <c r="G16" s="116"/>
      <c r="H16" s="177"/>
      <c r="I16" s="11" t="s">
        <v>16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6" s="11" t="s">
        <v>62</v>
      </c>
      <c r="L16" s="11">
        <v>10</v>
      </c>
      <c r="M16" s="7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6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6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6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6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6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6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6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6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6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6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6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6" s="111" t="b">
        <f>ISNUMBER(SEARCH($H$4,Tabla1[[#This Row],[Materia]],1))</f>
        <v>1</v>
      </c>
      <c r="Z16" s="111" t="b">
        <f>IFERROR(IF(
    (COUNTIF(Tabla1[[#This Row],[R1]:[A6]], _xlfn.XLOOKUP($H$4,Tabla1[Materia],Tabla1[Numero],""))) &gt; 0,
    TRUE,
    FALSE
),FALSE)</f>
        <v>0</v>
      </c>
      <c r="AA16" s="113">
        <v>5</v>
      </c>
      <c r="AB16" s="19"/>
      <c r="AC16" s="19"/>
      <c r="AD16" s="19"/>
      <c r="AE16" s="19"/>
    </row>
    <row r="17" spans="1:36" ht="17.25" customHeight="1" x14ac:dyDescent="0.25">
      <c r="A17" s="17"/>
      <c r="B17" s="11">
        <v>7</v>
      </c>
      <c r="C17" s="167">
        <v>7</v>
      </c>
      <c r="D17" s="11" t="s">
        <v>73</v>
      </c>
      <c r="E17" s="63" t="s">
        <v>95</v>
      </c>
      <c r="F17" s="11" t="str">
        <f>_xlfn.XLOOKUP(Tabla1[[#This Row],[Estado]],Control!$C$33:$C$35,Control!$B$33:$B$35,"")</f>
        <v/>
      </c>
      <c r="G17" s="116"/>
      <c r="H17" s="177"/>
      <c r="I17" s="11" t="s">
        <v>16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7" s="11" t="s">
        <v>62</v>
      </c>
      <c r="L17" s="11">
        <v>4</v>
      </c>
      <c r="M17" s="7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7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7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7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7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7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7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7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7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7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7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7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7" s="111" t="b">
        <f>ISNUMBER(SEARCH($H$4,Tabla1[[#This Row],[Materia]],1))</f>
        <v>1</v>
      </c>
      <c r="Z17" s="111" t="b">
        <f>IFERROR(IF(
    (COUNTIF(Tabla1[[#This Row],[R1]:[A6]], _xlfn.XLOOKUP($H$4,Tabla1[Materia],Tabla1[Numero],""))) &gt; 0,
    TRUE,
    FALSE
),FALSE)</f>
        <v>0</v>
      </c>
      <c r="AA17" s="113">
        <v>6</v>
      </c>
      <c r="AB17" s="19"/>
      <c r="AC17" s="19"/>
      <c r="AD17" s="19"/>
      <c r="AE17" s="19"/>
      <c r="AF17" s="19"/>
      <c r="AG17" s="19"/>
      <c r="AH17" s="19"/>
      <c r="AI17" s="19"/>
      <c r="AJ17" s="23"/>
    </row>
    <row r="18" spans="1:36" ht="17.25" customHeight="1" x14ac:dyDescent="0.25">
      <c r="A18" s="17"/>
      <c r="B18" s="11">
        <v>12</v>
      </c>
      <c r="C18" s="167">
        <v>12</v>
      </c>
      <c r="D18" s="11" t="s">
        <v>73</v>
      </c>
      <c r="E18" s="63" t="s">
        <v>137</v>
      </c>
      <c r="F18" s="11" t="str">
        <f>_xlfn.XLOOKUP(Tabla1[[#This Row],[Estado]],Control!$C$33:$C$35,Control!$B$33:$B$35,"")</f>
        <v/>
      </c>
      <c r="G18" s="116"/>
      <c r="H18" s="177"/>
      <c r="I18" s="11" t="s">
        <v>16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18" s="11" t="s">
        <v>62</v>
      </c>
      <c r="L18" s="11">
        <v>10</v>
      </c>
      <c r="M18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N18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O18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8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8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8" s="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8" s="7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8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8" s="13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8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8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8" s="10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8" s="111" t="b">
        <f>ISNUMBER(SEARCH($H$4,Tabla1[[#This Row],[Materia]],1))</f>
        <v>1</v>
      </c>
      <c r="Z18" s="111" t="b">
        <f>IFERROR(IF(
    (COUNTIF(Tabla1[[#This Row],[R1]:[A6]], _xlfn.XLOOKUP($H$4,Tabla1[Materia],Tabla1[Numero],""))) &gt; 0,
    TRUE,
    FALSE
),FALSE)</f>
        <v>0</v>
      </c>
      <c r="AA18" s="113">
        <v>7</v>
      </c>
      <c r="AB18" s="19"/>
      <c r="AC18" s="19"/>
      <c r="AD18" s="19"/>
      <c r="AE18" s="19"/>
      <c r="AF18" s="19"/>
      <c r="AG18" s="19"/>
      <c r="AH18" s="19"/>
      <c r="AI18" s="19"/>
      <c r="AJ18" s="23"/>
    </row>
    <row r="19" spans="1:36" ht="17.25" customHeight="1" thickBot="1" x14ac:dyDescent="0.3">
      <c r="A19" s="17"/>
      <c r="B19" s="142">
        <v>16</v>
      </c>
      <c r="C19" s="168">
        <v>16</v>
      </c>
      <c r="D19" s="142" t="s">
        <v>73</v>
      </c>
      <c r="E19" s="146" t="s">
        <v>138</v>
      </c>
      <c r="F19" s="142" t="str">
        <f>_xlfn.XLOOKUP(Tabla1[[#This Row],[Estado]],Control!$C$33:$C$35,Control!$B$33:$B$35,"")</f>
        <v/>
      </c>
      <c r="G19" s="150"/>
      <c r="H19" s="178"/>
      <c r="I19" s="142" t="s">
        <v>16</v>
      </c>
      <c r="J19" s="1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9" s="142" t="s">
        <v>62</v>
      </c>
      <c r="L19" s="142">
        <v>4</v>
      </c>
      <c r="M19" s="15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9" s="14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9" s="14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9" s="14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9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9" s="14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9" s="15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9" s="14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9" s="14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9" s="14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9" s="14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9" s="16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9" s="111" t="b">
        <f>ISNUMBER(SEARCH($H$4,Tabla1[[#This Row],[Materia]],1))</f>
        <v>1</v>
      </c>
      <c r="Z19" s="111" t="b">
        <f>IFERROR(IF(
    (COUNTIF(Tabla1[[#This Row],[R1]:[A6]], _xlfn.XLOOKUP($H$4,Tabla1[Materia],Tabla1[Numero],""))) &gt; 0,
    TRUE,
    FALSE
),FALSE)</f>
        <v>0</v>
      </c>
      <c r="AA19" s="113">
        <v>8</v>
      </c>
      <c r="AB19" s="19"/>
      <c r="AC19" s="19"/>
      <c r="AD19" s="19"/>
      <c r="AE19" s="19"/>
      <c r="AF19" s="19"/>
      <c r="AG19" s="19"/>
      <c r="AH19" s="19"/>
      <c r="AI19" s="19"/>
      <c r="AJ19" s="23"/>
    </row>
    <row r="20" spans="1:36" ht="17.25" customHeight="1" x14ac:dyDescent="0.25">
      <c r="A20" s="17"/>
      <c r="B20" s="13">
        <v>5</v>
      </c>
      <c r="C20" s="169">
        <v>5</v>
      </c>
      <c r="D20" s="13" t="s">
        <v>74</v>
      </c>
      <c r="E20" s="64" t="s">
        <v>139</v>
      </c>
      <c r="F20" s="13" t="str">
        <f>_xlfn.XLOOKUP(Tabla1[[#This Row],[Estado]],Control!$C$33:$C$35,Control!$B$33:$B$35,"")</f>
        <v/>
      </c>
      <c r="G20" s="117"/>
      <c r="H20" s="179"/>
      <c r="I20" s="13" t="s">
        <v>15</v>
      </c>
      <c r="J20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20" s="13" t="s">
        <v>62</v>
      </c>
      <c r="L20" s="13">
        <v>10</v>
      </c>
      <c r="M20" s="13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20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0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0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0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0" s="10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0" s="13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0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0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0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0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0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0" s="111" t="b">
        <f>ISNUMBER(SEARCH($H$4,Tabla1[[#This Row],[Materia]],1))</f>
        <v>1</v>
      </c>
      <c r="Z20" s="111" t="b">
        <f>IFERROR(IF(
    (COUNTIF(Tabla1[[#This Row],[R1]:[A6]], _xlfn.XLOOKUP($H$4,Tabla1[Materia],Tabla1[Numero],""))) &gt; 0,
    TRUE,
    FALSE
),FALSE)</f>
        <v>0</v>
      </c>
      <c r="AA20" s="113">
        <v>9</v>
      </c>
      <c r="AB20" s="19"/>
      <c r="AC20" s="19"/>
      <c r="AD20" s="19"/>
      <c r="AE20" s="19"/>
      <c r="AF20" s="19"/>
      <c r="AG20" s="19"/>
      <c r="AH20" s="19"/>
      <c r="AI20" s="19"/>
      <c r="AJ20" s="23"/>
    </row>
    <row r="21" spans="1:36" ht="17.25" customHeight="1" x14ac:dyDescent="0.25">
      <c r="A21" s="17"/>
      <c r="B21" s="13">
        <v>8</v>
      </c>
      <c r="C21" s="169">
        <v>8</v>
      </c>
      <c r="D21" s="13" t="s">
        <v>74</v>
      </c>
      <c r="E21" s="64" t="s">
        <v>96</v>
      </c>
      <c r="F21" s="13" t="str">
        <f>_xlfn.XLOOKUP(Tabla1[[#This Row],[Estado]],Control!$C$33:$C$35,Control!$B$33:$B$35,"")</f>
        <v/>
      </c>
      <c r="G21" s="117"/>
      <c r="H21" s="179"/>
      <c r="I21" s="13" t="s">
        <v>15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21" s="13" t="s">
        <v>62</v>
      </c>
      <c r="L21" s="13">
        <v>4</v>
      </c>
      <c r="M21" s="13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21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1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1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1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1" s="10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1" s="13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1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1" s="111" t="b">
        <f>ISNUMBER(SEARCH($H$4,Tabla1[[#This Row],[Materia]],1))</f>
        <v>1</v>
      </c>
      <c r="Z21" s="111" t="b">
        <f>IFERROR(IF(
    (COUNTIF(Tabla1[[#This Row],[R1]:[A6]], _xlfn.XLOOKUP($H$4,Tabla1[Materia],Tabla1[Numero],""))) &gt; 0,
    TRUE,
    FALSE
),FALSE)</f>
        <v>0</v>
      </c>
      <c r="AA21" s="113">
        <v>10</v>
      </c>
      <c r="AB21" s="19"/>
      <c r="AC21" s="19"/>
      <c r="AD21" s="19"/>
      <c r="AE21" s="19"/>
      <c r="AF21" s="19"/>
      <c r="AG21" s="19"/>
      <c r="AH21" s="19"/>
      <c r="AI21" s="19"/>
      <c r="AJ21" s="23"/>
    </row>
    <row r="22" spans="1:36" ht="17.25" customHeight="1" x14ac:dyDescent="0.25">
      <c r="A22" s="17"/>
      <c r="B22" s="13">
        <v>10</v>
      </c>
      <c r="C22" s="169">
        <v>10</v>
      </c>
      <c r="D22" s="13" t="s">
        <v>74</v>
      </c>
      <c r="E22" s="64" t="s">
        <v>97</v>
      </c>
      <c r="F22" s="13" t="str">
        <f>_xlfn.XLOOKUP(Tabla1[[#This Row],[Estado]],Control!$C$33:$C$35,Control!$B$33:$B$35,"")</f>
        <v/>
      </c>
      <c r="G22" s="117"/>
      <c r="H22" s="179"/>
      <c r="I22" s="13" t="s">
        <v>15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2" s="13" t="s">
        <v>62</v>
      </c>
      <c r="L22" s="13">
        <v>6</v>
      </c>
      <c r="M22" s="13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N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O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2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2" s="10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2" s="13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2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2" s="111" t="b">
        <f>ISNUMBER(SEARCH($H$4,Tabla1[[#This Row],[Materia]],1))</f>
        <v>1</v>
      </c>
      <c r="Z22" s="111" t="b">
        <f>IFERROR(IF(
    (COUNTIF(Tabla1[[#This Row],[R1]:[A6]], _xlfn.XLOOKUP($H$4,Tabla1[Materia],Tabla1[Numero],""))) &gt; 0,
    TRUE,
    FALSE
),FALSE)</f>
        <v>0</v>
      </c>
      <c r="AA22" s="113">
        <v>11</v>
      </c>
      <c r="AB22" s="19"/>
      <c r="AC22" s="19"/>
      <c r="AD22" s="19"/>
      <c r="AE22" s="19"/>
      <c r="AF22" s="19"/>
      <c r="AG22" s="19"/>
      <c r="AH22" s="19"/>
      <c r="AI22" s="19"/>
      <c r="AJ22" s="23"/>
    </row>
    <row r="23" spans="1:36" ht="17.25" customHeight="1" x14ac:dyDescent="0.25">
      <c r="A23" s="17"/>
      <c r="B23" s="13">
        <v>11</v>
      </c>
      <c r="C23" s="169">
        <v>11</v>
      </c>
      <c r="D23" s="13" t="s">
        <v>74</v>
      </c>
      <c r="E23" s="64" t="s">
        <v>98</v>
      </c>
      <c r="F23" s="13" t="str">
        <f>_xlfn.XLOOKUP(Tabla1[[#This Row],[Estado]],Control!$C$33:$C$35,Control!$B$33:$B$35,"")</f>
        <v/>
      </c>
      <c r="G23" s="117"/>
      <c r="H23" s="179"/>
      <c r="I23" s="13" t="s">
        <v>15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3" s="13" t="s">
        <v>62</v>
      </c>
      <c r="L23" s="13">
        <v>8</v>
      </c>
      <c r="M23" s="7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N23" s="7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3" s="7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3" s="7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3" s="7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3" s="7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3" s="7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3" s="7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3" s="7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3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3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3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3" s="111" t="b">
        <f>ISNUMBER(SEARCH($H$4,Tabla1[[#This Row],[Materia]],1))</f>
        <v>1</v>
      </c>
      <c r="Z23" s="111" t="b">
        <f>IFERROR(IF(
    (COUNTIF(Tabla1[[#This Row],[R1]:[A6]], _xlfn.XLOOKUP($H$4,Tabla1[Materia],Tabla1[Numero],""))) &gt; 0,
    TRUE,
    FALSE
),FALSE)</f>
        <v>0</v>
      </c>
      <c r="AA23" s="113">
        <v>12</v>
      </c>
      <c r="AB23" s="19"/>
      <c r="AC23" s="19"/>
      <c r="AD23" s="19"/>
      <c r="AE23" s="19"/>
      <c r="AF23" s="19"/>
      <c r="AG23" s="19"/>
      <c r="AH23" s="19"/>
      <c r="AI23" s="19"/>
      <c r="AJ23" s="23"/>
    </row>
    <row r="24" spans="1:36" ht="17.25" customHeight="1" x14ac:dyDescent="0.25">
      <c r="A24" s="17"/>
      <c r="B24" s="13">
        <v>26</v>
      </c>
      <c r="C24" s="169">
        <v>26</v>
      </c>
      <c r="D24" s="13" t="s">
        <v>74</v>
      </c>
      <c r="E24" s="64" t="s">
        <v>140</v>
      </c>
      <c r="F24" s="13" t="str">
        <f>_xlfn.XLOOKUP(Tabla1[[#This Row],[Estado]],Control!$C$33:$C$35,Control!$B$33:$B$35,"")</f>
        <v/>
      </c>
      <c r="G24" s="117"/>
      <c r="H24" s="179"/>
      <c r="I24" s="13" t="s">
        <v>15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4" s="13" t="s">
        <v>62</v>
      </c>
      <c r="L24" s="13">
        <v>4</v>
      </c>
      <c r="M24" s="7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24" s="7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4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4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4" s="7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4" s="12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4" s="7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T24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4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4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4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4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4" s="111" t="b">
        <f>ISNUMBER(SEARCH($H$4,Tabla1[[#This Row],[Materia]],1))</f>
        <v>1</v>
      </c>
      <c r="Z24" s="111" t="b">
        <f>IFERROR(IF(
    (COUNTIF(Tabla1[[#This Row],[R1]:[A6]], _xlfn.XLOOKUP($H$4,Tabla1[Materia],Tabla1[Numero],""))) &gt; 0,
    TRUE,
    FALSE
),FALSE)</f>
        <v>0</v>
      </c>
      <c r="AA24" s="113">
        <v>13</v>
      </c>
      <c r="AB24" s="19"/>
      <c r="AC24" s="19"/>
      <c r="AD24" s="19"/>
      <c r="AE24" s="19"/>
      <c r="AF24" s="19"/>
      <c r="AG24" s="19"/>
      <c r="AH24" s="19"/>
      <c r="AI24" s="19"/>
      <c r="AJ24" s="23"/>
    </row>
    <row r="25" spans="1:36" ht="17.25" customHeight="1" x14ac:dyDescent="0.25">
      <c r="A25" s="17"/>
      <c r="B25" s="13">
        <v>9</v>
      </c>
      <c r="C25" s="169">
        <v>9</v>
      </c>
      <c r="D25" s="13" t="s">
        <v>74</v>
      </c>
      <c r="E25" s="65" t="s">
        <v>107</v>
      </c>
      <c r="F25" s="13" t="str">
        <f>_xlfn.XLOOKUP(Tabla1[[#This Row],[Estado]],Control!$C$33:$C$35,Control!$B$33:$B$35,"")</f>
        <v/>
      </c>
      <c r="G25" s="117"/>
      <c r="H25" s="179"/>
      <c r="I25" s="13" t="s">
        <v>16</v>
      </c>
      <c r="J25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5" s="13" t="s">
        <v>62</v>
      </c>
      <c r="L25" s="13">
        <v>6</v>
      </c>
      <c r="M25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5" s="7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O25" s="7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6</v>
      </c>
      <c r="P25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5" s="7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5" s="12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5" s="7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5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5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5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5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5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5" s="111" t="b">
        <f>ISNUMBER(SEARCH($H$4,Tabla1[[#This Row],[Materia]],1))</f>
        <v>1</v>
      </c>
      <c r="Z25" s="111" t="b">
        <f>IFERROR(IF(
    (COUNTIF(Tabla1[[#This Row],[R1]:[A6]], _xlfn.XLOOKUP($H$4,Tabla1[Materia],Tabla1[Numero],""))) &gt; 0,
    TRUE,
    FALSE
),FALSE)</f>
        <v>0</v>
      </c>
      <c r="AA25" s="113">
        <v>14</v>
      </c>
      <c r="AB25" s="19"/>
      <c r="AC25" s="19"/>
      <c r="AD25" s="19"/>
      <c r="AE25" s="19"/>
      <c r="AF25" s="19"/>
      <c r="AG25" s="19"/>
      <c r="AH25" s="19"/>
      <c r="AI25" s="19"/>
      <c r="AJ25" s="23"/>
    </row>
    <row r="26" spans="1:36" ht="17.25" customHeight="1" x14ac:dyDescent="0.25">
      <c r="A26" s="17"/>
      <c r="B26" s="13">
        <v>13</v>
      </c>
      <c r="C26" s="169">
        <v>13</v>
      </c>
      <c r="D26" s="13" t="s">
        <v>74</v>
      </c>
      <c r="E26" s="64" t="s">
        <v>141</v>
      </c>
      <c r="F26" s="13" t="str">
        <f>_xlfn.XLOOKUP(Tabla1[[#This Row],[Estado]],Control!$C$33:$C$35,Control!$B$33:$B$35,"")</f>
        <v/>
      </c>
      <c r="G26" s="117"/>
      <c r="H26" s="179"/>
      <c r="I26" s="13" t="s">
        <v>16</v>
      </c>
      <c r="J26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6" s="13" t="s">
        <v>62</v>
      </c>
      <c r="L26" s="13">
        <v>10</v>
      </c>
      <c r="M26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N26" s="7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O26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6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6" s="7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6" s="12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6" s="7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6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6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6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6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6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6" s="111" t="b">
        <f>ISNUMBER(SEARCH($H$4,Tabla1[[#This Row],[Materia]],1))</f>
        <v>1</v>
      </c>
      <c r="Z26" s="111" t="b">
        <f>IFERROR(IF(
    (COUNTIF(Tabla1[[#This Row],[R1]:[A6]], _xlfn.XLOOKUP($H$4,Tabla1[Materia],Tabla1[Numero],""))) &gt; 0,
    TRUE,
    FALSE
),FALSE)</f>
        <v>0</v>
      </c>
      <c r="AA26" s="113">
        <v>15</v>
      </c>
      <c r="AB26" s="19"/>
      <c r="AC26" s="19"/>
      <c r="AD26" s="19"/>
      <c r="AE26" s="19"/>
      <c r="AF26" s="19"/>
      <c r="AG26" s="19"/>
      <c r="AH26" s="19"/>
      <c r="AI26" s="19"/>
      <c r="AJ26" s="23"/>
    </row>
    <row r="27" spans="1:36" ht="17.25" customHeight="1" x14ac:dyDescent="0.25">
      <c r="A27" s="17"/>
      <c r="B27" s="13">
        <v>14</v>
      </c>
      <c r="C27" s="169">
        <v>14</v>
      </c>
      <c r="D27" s="13" t="s">
        <v>74</v>
      </c>
      <c r="E27" s="64" t="s">
        <v>99</v>
      </c>
      <c r="F27" s="13" t="str">
        <f>_xlfn.XLOOKUP(Tabla1[[#This Row],[Estado]],Control!$C$33:$C$35,Control!$B$33:$B$35,"")</f>
        <v/>
      </c>
      <c r="G27" s="117"/>
      <c r="H27" s="179"/>
      <c r="I27" s="13" t="s">
        <v>16</v>
      </c>
      <c r="J27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7" s="13" t="s">
        <v>62</v>
      </c>
      <c r="L27" s="13">
        <v>10</v>
      </c>
      <c r="M27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N27" s="7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7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7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7" s="7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7" s="12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7" s="7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7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7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7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7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7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7" s="111" t="b">
        <f>ISNUMBER(SEARCH($H$4,Tabla1[[#This Row],[Materia]],1))</f>
        <v>1</v>
      </c>
      <c r="Z27" s="111" t="b">
        <f>IFERROR(IF(
    (COUNTIF(Tabla1[[#This Row],[R1]:[A6]], _xlfn.XLOOKUP($H$4,Tabla1[Materia],Tabla1[Numero],""))) &gt; 0,
    TRUE,
    FALSE
),FALSE)</f>
        <v>0</v>
      </c>
      <c r="AA27" s="113">
        <v>16</v>
      </c>
      <c r="AB27" s="19"/>
      <c r="AC27" s="19"/>
      <c r="AD27" s="19"/>
      <c r="AE27" s="19"/>
      <c r="AF27" s="19"/>
      <c r="AG27" s="19"/>
      <c r="AH27" s="19"/>
      <c r="AI27" s="19"/>
      <c r="AJ27" s="23"/>
    </row>
    <row r="28" spans="1:36" ht="17.25" customHeight="1" thickBot="1" x14ac:dyDescent="0.3">
      <c r="A28" s="17"/>
      <c r="B28" s="141">
        <v>19</v>
      </c>
      <c r="C28" s="169">
        <v>19</v>
      </c>
      <c r="D28" s="13" t="s">
        <v>74</v>
      </c>
      <c r="E28" s="145" t="s">
        <v>100</v>
      </c>
      <c r="F28" s="141" t="str">
        <f>_xlfn.XLOOKUP(Tabla1[[#This Row],[Estado]],Control!$C$33:$C$35,Control!$B$33:$B$35,"")</f>
        <v/>
      </c>
      <c r="G28" s="149"/>
      <c r="H28" s="180"/>
      <c r="I28" s="141" t="s">
        <v>16</v>
      </c>
      <c r="J28" s="1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8" s="141" t="s">
        <v>62</v>
      </c>
      <c r="L28" s="141">
        <v>6</v>
      </c>
      <c r="M28" s="15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N28" s="15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8" s="15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8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8" s="15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8" s="16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8" s="15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28" s="15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U28" s="15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8" s="14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8" s="14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8" s="16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8" s="111" t="b">
        <f>ISNUMBER(SEARCH($H$4,Tabla1[[#This Row],[Materia]],1))</f>
        <v>1</v>
      </c>
      <c r="Z28" s="111" t="b">
        <f>IFERROR(IF(
    (COUNTIF(Tabla1[[#This Row],[R1]:[A6]], _xlfn.XLOOKUP($H$4,Tabla1[Materia],Tabla1[Numero],""))) &gt; 0,
    TRUE,
    FALSE
),FALSE)</f>
        <v>0</v>
      </c>
      <c r="AA28" s="113">
        <v>17</v>
      </c>
      <c r="AB28" s="19"/>
      <c r="AC28" s="19"/>
      <c r="AD28" s="19"/>
      <c r="AE28" s="19"/>
      <c r="AF28" s="19"/>
      <c r="AG28" s="19"/>
      <c r="AH28" s="19"/>
      <c r="AI28" s="19"/>
      <c r="AJ28" s="23"/>
    </row>
    <row r="29" spans="1:36" ht="17.25" customHeight="1" x14ac:dyDescent="0.25">
      <c r="A29" s="17"/>
      <c r="B29" s="143">
        <v>18</v>
      </c>
      <c r="C29" s="170">
        <v>18</v>
      </c>
      <c r="D29" s="143" t="s">
        <v>75</v>
      </c>
      <c r="E29" s="147" t="s">
        <v>101</v>
      </c>
      <c r="F29" s="143" t="str">
        <f>_xlfn.XLOOKUP(Tabla1[[#This Row],[Estado]],Control!$C$33:$C$35,Control!$B$33:$B$35,"")</f>
        <v/>
      </c>
      <c r="G29" s="151"/>
      <c r="H29" s="181"/>
      <c r="I29" s="143" t="s">
        <v>15</v>
      </c>
      <c r="J29" s="1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9" s="143" t="s">
        <v>62</v>
      </c>
      <c r="L29" s="143">
        <v>8</v>
      </c>
      <c r="M29" s="13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N29" s="158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O29" s="15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9" s="15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9" s="15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9" s="16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9" s="13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29" s="158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U29" s="158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29" s="20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6</v>
      </c>
      <c r="W29" s="20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9" s="13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9" s="111" t="b">
        <f>ISNUMBER(SEARCH($H$4,Tabla1[[#This Row],[Materia]],1))</f>
        <v>1</v>
      </c>
      <c r="Z29" s="109" t="b">
        <f>IFERROR(IF(
    (COUNTIF(Tabla1[[#This Row],[R1]:[A6]], _xlfn.XLOOKUP($H$4,Tabla1[Materia],Tabla1[Numero],""))) &gt; 0,
    TRUE,
    FALSE
),FALSE)</f>
        <v>0</v>
      </c>
      <c r="AA29" s="113">
        <v>18</v>
      </c>
      <c r="AB29" s="19"/>
      <c r="AC29" s="19"/>
      <c r="AD29" s="19"/>
      <c r="AE29" s="19"/>
      <c r="AF29" s="19"/>
      <c r="AG29" s="19"/>
      <c r="AH29" s="19"/>
      <c r="AI29" s="19"/>
      <c r="AJ29" s="23"/>
    </row>
    <row r="30" spans="1:36" ht="17.25" customHeight="1" x14ac:dyDescent="0.25">
      <c r="A30" s="17"/>
      <c r="B30" s="45">
        <v>20</v>
      </c>
      <c r="C30" s="171">
        <v>20</v>
      </c>
      <c r="D30" s="45" t="s">
        <v>75</v>
      </c>
      <c r="E30" s="66" t="s">
        <v>102</v>
      </c>
      <c r="F30" s="45" t="str">
        <f>_xlfn.XLOOKUP(Tabla1[[#This Row],[Estado]],Control!$C$33:$C$35,Control!$B$33:$B$35,"")</f>
        <v/>
      </c>
      <c r="G30" s="118"/>
      <c r="H30" s="182"/>
      <c r="I30" s="45" t="s">
        <v>15</v>
      </c>
      <c r="J30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0" s="45" t="s">
        <v>62</v>
      </c>
      <c r="L30" s="45">
        <v>4</v>
      </c>
      <c r="M30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0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O30" s="8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14</v>
      </c>
      <c r="P30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0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0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0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0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U30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0" s="19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0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0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0" s="111" t="b">
        <f>ISNUMBER(SEARCH($H$4,Tabla1[[#This Row],[Materia]],1))</f>
        <v>1</v>
      </c>
      <c r="Z30" s="73" t="b">
        <f>IFERROR(IF(
    (COUNTIF(Tabla1[[#This Row],[R1]:[A6]], _xlfn.XLOOKUP($H$4,Tabla1[Materia],Tabla1[Numero],""))) &gt; 0,
    TRUE,
    FALSE
),FALSE)</f>
        <v>0</v>
      </c>
      <c r="AA30" s="113">
        <v>19</v>
      </c>
      <c r="AB30" s="19"/>
      <c r="AC30" s="19"/>
      <c r="AD30" s="19"/>
      <c r="AE30" s="19"/>
      <c r="AF30" s="19"/>
      <c r="AG30" s="19"/>
      <c r="AH30" s="19"/>
      <c r="AI30" s="19"/>
      <c r="AJ30" s="23"/>
    </row>
    <row r="31" spans="1:36" ht="17.25" customHeight="1" x14ac:dyDescent="0.25">
      <c r="A31" s="17"/>
      <c r="B31" s="45">
        <v>23</v>
      </c>
      <c r="C31" s="171">
        <v>23</v>
      </c>
      <c r="D31" s="45" t="s">
        <v>75</v>
      </c>
      <c r="E31" s="67" t="s">
        <v>103</v>
      </c>
      <c r="F31" s="45" t="str">
        <f>_xlfn.XLOOKUP(Tabla1[[#This Row],[Estado]],Control!$C$33:$C$35,Control!$B$33:$B$35,"")</f>
        <v/>
      </c>
      <c r="G31" s="118"/>
      <c r="H31" s="182"/>
      <c r="I31" s="45" t="s">
        <v>15</v>
      </c>
      <c r="J31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1" s="45" t="s">
        <v>62</v>
      </c>
      <c r="L31" s="45">
        <v>8</v>
      </c>
      <c r="M31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1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O31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1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1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1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1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T31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U31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V31" s="19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1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1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1" s="111" t="b">
        <f>ISNUMBER(SEARCH($H$4,Tabla1[[#This Row],[Materia]],1))</f>
        <v>1</v>
      </c>
      <c r="Z31" s="73" t="b">
        <f>IFERROR(IF(
    (COUNTIF(Tabla1[[#This Row],[R1]:[A6]], _xlfn.XLOOKUP($H$4,Tabla1[Materia],Tabla1[Numero],""))) &gt; 0,
    TRUE,
    FALSE
),FALSE)</f>
        <v>0</v>
      </c>
      <c r="AA31" s="113">
        <v>20</v>
      </c>
      <c r="AB31" s="19"/>
      <c r="AC31" s="19"/>
      <c r="AE31" s="19"/>
      <c r="AF31" s="19"/>
      <c r="AG31" s="19"/>
      <c r="AH31" s="19"/>
      <c r="AI31" s="19"/>
      <c r="AJ31" s="23"/>
    </row>
    <row r="32" spans="1:36" ht="17.25" customHeight="1" x14ac:dyDescent="0.25">
      <c r="A32" s="17"/>
      <c r="B32" s="45">
        <v>24</v>
      </c>
      <c r="C32" s="171">
        <v>24</v>
      </c>
      <c r="D32" s="45" t="s">
        <v>75</v>
      </c>
      <c r="E32" s="67" t="s">
        <v>111</v>
      </c>
      <c r="F32" s="45" t="str">
        <f>_xlfn.XLOOKUP(Tabla1[[#This Row],[Estado]],Control!$C$33:$C$35,Control!$B$33:$B$35,"")</f>
        <v/>
      </c>
      <c r="G32" s="118"/>
      <c r="H32" s="182"/>
      <c r="I32" s="45" t="s">
        <v>15</v>
      </c>
      <c r="J32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2" s="45" t="s">
        <v>62</v>
      </c>
      <c r="L32" s="45">
        <v>6</v>
      </c>
      <c r="M32" s="13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2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O32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2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2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2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2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T32" s="8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2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2" s="19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2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2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2" s="111" t="b">
        <f>ISNUMBER(SEARCH($H$4,Tabla1[[#This Row],[Materia]],1))</f>
        <v>1</v>
      </c>
      <c r="Z32" s="73" t="b">
        <f>IFERROR(IF(
    (COUNTIF(Tabla1[[#This Row],[R1]:[A6]], _xlfn.XLOOKUP($H$4,Tabla1[Materia],Tabla1[Numero],""))) &gt; 0,
    TRUE,
    FALSE
),FALSE)</f>
        <v>0</v>
      </c>
      <c r="AA32" s="113">
        <v>21</v>
      </c>
      <c r="AB32" s="19"/>
      <c r="AC32" s="19"/>
      <c r="AD32" s="19"/>
      <c r="AE32" s="19"/>
      <c r="AF32" s="19"/>
      <c r="AG32" s="19"/>
      <c r="AH32" s="19"/>
      <c r="AI32" s="19"/>
      <c r="AJ32" s="23"/>
    </row>
    <row r="33" spans="1:36" ht="17.25" customHeight="1" x14ac:dyDescent="0.25">
      <c r="A33" s="17"/>
      <c r="B33" s="45">
        <v>30</v>
      </c>
      <c r="C33" s="171">
        <v>30</v>
      </c>
      <c r="D33" s="45" t="s">
        <v>75</v>
      </c>
      <c r="E33" s="67" t="s">
        <v>22</v>
      </c>
      <c r="F33" s="45" t="str">
        <f>_xlfn.XLOOKUP(Tabla1[[#This Row],[Estado]],Control!$C$33:$C$35,Control!$B$33:$B$35,"")</f>
        <v/>
      </c>
      <c r="G33" s="118"/>
      <c r="H33" s="182"/>
      <c r="I33" s="45" t="s">
        <v>15</v>
      </c>
      <c r="J33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3" s="45" t="s">
        <v>62</v>
      </c>
      <c r="L33" s="45">
        <v>6</v>
      </c>
      <c r="M33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3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33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3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3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3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3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33" s="8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3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3" s="19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3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3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3" s="111" t="b">
        <f>ISNUMBER(SEARCH($H$4,Tabla1[[#This Row],[Materia]],1))</f>
        <v>1</v>
      </c>
      <c r="Z33" s="73" t="b">
        <f>IFERROR(IF(
    (COUNTIF(Tabla1[[#This Row],[R1]:[A6]], _xlfn.XLOOKUP($H$4,Tabla1[Materia],Tabla1[Numero],""))) &gt; 0,
    TRUE,
    FALSE
),FALSE)</f>
        <v>0</v>
      </c>
      <c r="AA33" s="113">
        <v>22</v>
      </c>
      <c r="AB33" s="19"/>
      <c r="AC33" s="19"/>
      <c r="AD33" s="19"/>
      <c r="AE33" s="19"/>
      <c r="AF33" s="19"/>
      <c r="AG33" s="19"/>
      <c r="AH33" s="19"/>
      <c r="AI33" s="19"/>
      <c r="AJ33" s="23"/>
    </row>
    <row r="34" spans="1:36" ht="17.25" customHeight="1" x14ac:dyDescent="0.25">
      <c r="A34" s="17"/>
      <c r="B34" s="45">
        <v>17</v>
      </c>
      <c r="C34" s="171">
        <v>17</v>
      </c>
      <c r="D34" s="45" t="s">
        <v>75</v>
      </c>
      <c r="E34" s="67" t="s">
        <v>112</v>
      </c>
      <c r="F34" s="45" t="str">
        <f>_xlfn.XLOOKUP(Tabla1[[#This Row],[Estado]],Control!$C$33:$C$35,Control!$B$33:$B$35,"")</f>
        <v/>
      </c>
      <c r="G34" s="118"/>
      <c r="H34" s="182"/>
      <c r="I34" s="45" t="s">
        <v>16</v>
      </c>
      <c r="J34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4" s="45" t="s">
        <v>62</v>
      </c>
      <c r="L34" s="45">
        <v>6</v>
      </c>
      <c r="M34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4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O34" s="8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4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4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4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4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4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U34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4" s="19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6</v>
      </c>
      <c r="W34" s="197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X34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4" s="111" t="b">
        <f>ISNUMBER(SEARCH($H$4,Tabla1[[#This Row],[Materia]],1))</f>
        <v>1</v>
      </c>
      <c r="Z34" s="73" t="b">
        <f>IFERROR(IF(
    (COUNTIF(Tabla1[[#This Row],[R1]:[A6]], _xlfn.XLOOKUP($H$4,Tabla1[Materia],Tabla1[Numero],""))) &gt; 0,
    TRUE,
    FALSE
),FALSE)</f>
        <v>0</v>
      </c>
      <c r="AA34" s="113">
        <v>23</v>
      </c>
      <c r="AB34" s="19"/>
      <c r="AC34" s="19"/>
      <c r="AD34" s="19"/>
      <c r="AE34" s="19"/>
      <c r="AF34" s="19"/>
      <c r="AG34" s="19"/>
      <c r="AH34" s="19"/>
      <c r="AI34" s="19"/>
      <c r="AJ34" s="23"/>
    </row>
    <row r="35" spans="1:36" ht="17.25" customHeight="1" x14ac:dyDescent="0.25">
      <c r="A35" s="17"/>
      <c r="B35" s="45">
        <v>15</v>
      </c>
      <c r="C35" s="171">
        <v>15</v>
      </c>
      <c r="D35" s="45" t="s">
        <v>75</v>
      </c>
      <c r="E35" s="67" t="s">
        <v>23</v>
      </c>
      <c r="F35" s="45" t="str">
        <f>_xlfn.XLOOKUP(Tabla1[[#This Row],[Estado]],Control!$C$33:$C$35,Control!$B$33:$B$35,"")</f>
        <v/>
      </c>
      <c r="G35" s="118"/>
      <c r="H35" s="182"/>
      <c r="I35" s="45" t="s">
        <v>16</v>
      </c>
      <c r="J35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5" s="45" t="s">
        <v>62</v>
      </c>
      <c r="L35" s="45">
        <v>4</v>
      </c>
      <c r="M35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5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35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5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5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5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5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35" s="8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5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5" s="19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5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5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5" s="112" t="b">
        <f>ISNUMBER(SEARCH($H$4,Tabla1[[#This Row],[Materia]],1))</f>
        <v>1</v>
      </c>
      <c r="Z35" s="110" t="b">
        <f>IFERROR(IF(
    (COUNTIF(Tabla1[[#This Row],[R1]:[A6]], _xlfn.XLOOKUP($H$4,Tabla1[Materia],Tabla1[Numero],""))) &gt; 0,
    TRUE,
    FALSE
),FALSE)</f>
        <v>0</v>
      </c>
      <c r="AA35" s="113">
        <v>24</v>
      </c>
      <c r="AB35" s="19"/>
      <c r="AC35" s="19"/>
      <c r="AD35" s="19"/>
      <c r="AE35" s="19"/>
      <c r="AF35" s="19"/>
      <c r="AG35" s="19"/>
      <c r="AH35" s="19"/>
      <c r="AI35" s="19"/>
      <c r="AJ35" s="23"/>
    </row>
    <row r="36" spans="1:36" ht="17.25" customHeight="1" x14ac:dyDescent="0.25">
      <c r="A36" s="17"/>
      <c r="B36" s="45">
        <v>21</v>
      </c>
      <c r="C36" s="171">
        <v>21</v>
      </c>
      <c r="D36" s="45" t="s">
        <v>75</v>
      </c>
      <c r="E36" s="67" t="s">
        <v>113</v>
      </c>
      <c r="F36" s="45" t="str">
        <f>_xlfn.XLOOKUP(Tabla1[[#This Row],[Estado]],Control!$C$33:$C$35,Control!$B$33:$B$35,"")</f>
        <v/>
      </c>
      <c r="G36" s="118"/>
      <c r="H36" s="182"/>
      <c r="I36" s="45" t="s">
        <v>16</v>
      </c>
      <c r="J36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6" s="45" t="s">
        <v>62</v>
      </c>
      <c r="L36" s="45">
        <v>8</v>
      </c>
      <c r="M36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6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O36" s="8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6" s="8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18</v>
      </c>
      <c r="Q36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6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6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36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U36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6" s="19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6</v>
      </c>
      <c r="W36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6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6" s="197" t="b">
        <f>ISNUMBER(SEARCH($H$4,Tabla1[[#This Row],[Materia]],1))</f>
        <v>1</v>
      </c>
      <c r="Z36" s="198" t="b">
        <f>IFERROR(IF(
    (COUNTIF(Tabla1[[#This Row],[R1]:[A6]], _xlfn.XLOOKUP($H$4,Tabla1[Materia],Tabla1[Numero],""))) &gt; 0,
    TRUE,
    FALSE
),FALSE)</f>
        <v>0</v>
      </c>
      <c r="AA36" s="113">
        <v>25</v>
      </c>
      <c r="AB36" s="19"/>
      <c r="AC36" s="19"/>
      <c r="AD36" s="19"/>
      <c r="AE36" s="19"/>
      <c r="AF36" s="19"/>
      <c r="AG36" s="19"/>
      <c r="AH36" s="19"/>
      <c r="AI36" s="19"/>
      <c r="AJ36" s="23"/>
    </row>
    <row r="37" spans="1:36" ht="17.25" customHeight="1" x14ac:dyDescent="0.25">
      <c r="A37" s="17"/>
      <c r="B37" s="45">
        <v>22</v>
      </c>
      <c r="C37" s="171">
        <v>22</v>
      </c>
      <c r="D37" s="45" t="s">
        <v>75</v>
      </c>
      <c r="E37" s="67" t="s">
        <v>114</v>
      </c>
      <c r="F37" s="45" t="str">
        <f>_xlfn.XLOOKUP(Tabla1[[#This Row],[Estado]],Control!$C$33:$C$35,Control!$B$33:$B$35,"")</f>
        <v/>
      </c>
      <c r="G37" s="118"/>
      <c r="H37" s="182"/>
      <c r="I37" s="45" t="s">
        <v>16</v>
      </c>
      <c r="J37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7" s="45" t="s">
        <v>62</v>
      </c>
      <c r="L37" s="45">
        <v>10</v>
      </c>
      <c r="M37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N37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O37" s="8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18</v>
      </c>
      <c r="P37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7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7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7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37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U37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V37" s="19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6</v>
      </c>
      <c r="W37" s="19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7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7" s="111" t="b">
        <f>ISNUMBER(SEARCH($H$4,Tabla1[[#This Row],[Materia]],1))</f>
        <v>1</v>
      </c>
      <c r="Z37" s="73" t="b">
        <f>IFERROR(IF(
    (COUNTIF(Tabla1[[#This Row],[R1]:[A6]], _xlfn.XLOOKUP($H$4,Tabla1[Materia],Tabla1[Numero],""))) &gt; 0,
    TRUE,
    FALSE
),FALSE)</f>
        <v>0</v>
      </c>
      <c r="AA37" s="113">
        <v>26</v>
      </c>
      <c r="AB37" s="19"/>
      <c r="AC37" s="19"/>
      <c r="AD37" s="19"/>
      <c r="AE37" s="19"/>
      <c r="AF37" s="19"/>
      <c r="AG37" s="19"/>
      <c r="AH37" s="19"/>
      <c r="AI37" s="19"/>
      <c r="AJ37" s="23"/>
    </row>
    <row r="38" spans="1:36" ht="17.25" customHeight="1" thickBot="1" x14ac:dyDescent="0.3">
      <c r="A38" s="17"/>
      <c r="B38" s="189">
        <v>25</v>
      </c>
      <c r="C38" s="190">
        <v>25</v>
      </c>
      <c r="D38" s="189" t="s">
        <v>75</v>
      </c>
      <c r="E38" s="191" t="s">
        <v>115</v>
      </c>
      <c r="F38" s="189" t="str">
        <f>_xlfn.XLOOKUP(Tabla1[[#This Row],[Estado]],Control!$C$33:$C$35,Control!$B$33:$B$35,"")</f>
        <v/>
      </c>
      <c r="G38" s="192"/>
      <c r="H38" s="193"/>
      <c r="I38" s="189" t="s">
        <v>16</v>
      </c>
      <c r="J38" s="18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8" s="189" t="s">
        <v>62</v>
      </c>
      <c r="L38" s="189">
        <v>4</v>
      </c>
      <c r="M38" s="19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8" s="19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O38" s="19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8" s="195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14</v>
      </c>
      <c r="Q38" s="19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8" s="19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8" s="19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8" s="1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U38" s="19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V38" s="195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16</v>
      </c>
      <c r="W38" s="1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8" s="19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8" s="111" t="b">
        <f>ISNUMBER(SEARCH($H$4,Tabla1[[#This Row],[Materia]],1))</f>
        <v>1</v>
      </c>
      <c r="Z38" s="73" t="b">
        <f>IFERROR(IF(
    (COUNTIF(Tabla1[[#This Row],[R1]:[A6]], _xlfn.XLOOKUP($H$4,Tabla1[Materia],Tabla1[Numero],""))) &gt; 0,
    TRUE,
    FALSE
),FALSE)</f>
        <v>0</v>
      </c>
      <c r="AA38" s="113">
        <v>27</v>
      </c>
      <c r="AB38" s="19"/>
      <c r="AC38" s="19"/>
      <c r="AD38" s="19"/>
      <c r="AE38" s="19"/>
      <c r="AF38" s="19"/>
      <c r="AG38" s="19"/>
      <c r="AH38" s="19"/>
      <c r="AI38" s="19"/>
      <c r="AJ38" s="23"/>
    </row>
    <row r="39" spans="1:36" ht="17.25" customHeight="1" x14ac:dyDescent="0.25">
      <c r="A39" s="17"/>
      <c r="B39" s="44">
        <v>28</v>
      </c>
      <c r="C39" s="172">
        <v>28</v>
      </c>
      <c r="D39" s="44" t="s">
        <v>76</v>
      </c>
      <c r="E39" s="68" t="s">
        <v>142</v>
      </c>
      <c r="F39" s="44" t="str">
        <f>_xlfn.XLOOKUP(Tabla1[[#This Row],[Estado]],Control!$C$33:$C$35,Control!$B$33:$B$35,"")</f>
        <v/>
      </c>
      <c r="G39" s="119"/>
      <c r="H39" s="183"/>
      <c r="I39" s="44" t="s">
        <v>15</v>
      </c>
      <c r="J39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9" s="44" t="s">
        <v>62</v>
      </c>
      <c r="L39" s="44">
        <v>10</v>
      </c>
      <c r="M39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N39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O39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9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9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9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9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39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U39" s="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9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9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9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9" s="111" t="b">
        <f>ISNUMBER(SEARCH($H$4,Tabla1[[#This Row],[Materia]],1))</f>
        <v>1</v>
      </c>
      <c r="Z39" s="73" t="b">
        <f>IFERROR(IF(
    (COUNTIF(Tabla1[[#This Row],[R1]:[A6]], _xlfn.XLOOKUP($H$4,Tabla1[Materia],Tabla1[Numero],""))) &gt; 0,
    TRUE,
    FALSE
),FALSE)</f>
        <v>0</v>
      </c>
      <c r="AA39" s="113">
        <v>28</v>
      </c>
      <c r="AB39" s="19"/>
      <c r="AC39" s="19"/>
      <c r="AD39" s="19"/>
      <c r="AE39" s="19"/>
      <c r="AF39" s="19"/>
      <c r="AG39" s="19"/>
      <c r="AH39" s="19"/>
      <c r="AI39" s="19"/>
      <c r="AJ39" s="23"/>
    </row>
    <row r="40" spans="1:36" ht="17.25" customHeight="1" x14ac:dyDescent="0.25">
      <c r="A40" s="17"/>
      <c r="B40" s="44">
        <v>29</v>
      </c>
      <c r="C40" s="172">
        <v>29</v>
      </c>
      <c r="D40" s="44" t="s">
        <v>76</v>
      </c>
      <c r="E40" s="68" t="s">
        <v>108</v>
      </c>
      <c r="F40" s="44" t="str">
        <f>_xlfn.XLOOKUP(Tabla1[[#This Row],[Estado]],Control!$C$33:$C$35,Control!$B$33:$B$35,"")</f>
        <v/>
      </c>
      <c r="G40" s="119"/>
      <c r="H40" s="183"/>
      <c r="I40" s="44" t="s">
        <v>15</v>
      </c>
      <c r="J40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0" s="44" t="s">
        <v>62</v>
      </c>
      <c r="L40" s="44">
        <v>10</v>
      </c>
      <c r="M40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N40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O40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0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0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0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0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40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U40" s="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0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0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0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0" s="111" t="b">
        <f>ISNUMBER(SEARCH($H$4,Tabla1[[#This Row],[Materia]],1))</f>
        <v>1</v>
      </c>
      <c r="Z40" s="73" t="b">
        <f>IFERROR(IF(
    (COUNTIF(Tabla1[[#This Row],[R1]:[A6]], _xlfn.XLOOKUP($H$4,Tabla1[Materia],Tabla1[Numero],""))) &gt; 0,
    TRUE,
    FALSE
),FALSE)</f>
        <v>0</v>
      </c>
      <c r="AA40" s="113">
        <v>29</v>
      </c>
      <c r="AB40" s="19"/>
      <c r="AC40" s="19"/>
      <c r="AD40" s="19"/>
      <c r="AE40" s="19"/>
      <c r="AF40" s="19"/>
      <c r="AG40" s="19"/>
      <c r="AH40" s="19"/>
      <c r="AI40" s="19"/>
      <c r="AJ40" s="23"/>
    </row>
    <row r="41" spans="1:36" ht="17.25" customHeight="1" x14ac:dyDescent="0.25">
      <c r="A41" s="17"/>
      <c r="B41" s="44">
        <v>32</v>
      </c>
      <c r="C41" s="172">
        <v>32</v>
      </c>
      <c r="D41" s="44" t="s">
        <v>76</v>
      </c>
      <c r="E41" s="68" t="s">
        <v>109</v>
      </c>
      <c r="F41" s="44" t="str">
        <f>_xlfn.XLOOKUP(Tabla1[[#This Row],[Estado]],Control!$C$33:$C$35,Control!$B$33:$B$35,"")</f>
        <v/>
      </c>
      <c r="G41" s="119"/>
      <c r="H41" s="183"/>
      <c r="I41" s="44" t="s">
        <v>15</v>
      </c>
      <c r="J41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1" s="44" t="s">
        <v>62</v>
      </c>
      <c r="L41" s="44">
        <v>10</v>
      </c>
      <c r="M41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1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O41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1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1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1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1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41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12</v>
      </c>
      <c r="U41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V41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1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1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1" s="111" t="b">
        <f>ISNUMBER(SEARCH($H$4,Tabla1[[#This Row],[Materia]],1))</f>
        <v>1</v>
      </c>
      <c r="Z41" s="73" t="b">
        <f>IFERROR(IF(
    (COUNTIF(Tabla1[[#This Row],[R1]:[A6]], _xlfn.XLOOKUP($H$4,Tabla1[Materia],Tabla1[Numero],""))) &gt; 0,
    TRUE,
    FALSE
),FALSE)</f>
        <v>0</v>
      </c>
      <c r="AA41" s="113">
        <v>30</v>
      </c>
      <c r="AB41" s="19"/>
      <c r="AC41" s="19"/>
      <c r="AD41" s="19"/>
      <c r="AE41" s="19"/>
      <c r="AF41" s="19"/>
      <c r="AG41" s="19"/>
      <c r="AH41" s="19"/>
      <c r="AI41" s="19"/>
      <c r="AJ41" s="23"/>
    </row>
    <row r="42" spans="1:36" ht="17.25" customHeight="1" x14ac:dyDescent="0.25">
      <c r="A42" s="17"/>
      <c r="B42" s="44">
        <v>27</v>
      </c>
      <c r="C42" s="172">
        <v>27</v>
      </c>
      <c r="D42" s="44" t="s">
        <v>76</v>
      </c>
      <c r="E42" s="68" t="s">
        <v>133</v>
      </c>
      <c r="F42" s="44" t="str">
        <f>_xlfn.XLOOKUP(Tabla1[[#This Row],[Estado]],Control!$C$33:$C$35,Control!$B$33:$B$35,"")</f>
        <v/>
      </c>
      <c r="G42" s="119"/>
      <c r="H42" s="183"/>
      <c r="I42" s="44" t="s">
        <v>16</v>
      </c>
      <c r="J42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2" s="44" t="s">
        <v>62</v>
      </c>
      <c r="L42" s="44">
        <v>8</v>
      </c>
      <c r="M42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N42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O42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2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2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2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2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T42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8</v>
      </c>
      <c r="U42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9</v>
      </c>
      <c r="V42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11</v>
      </c>
      <c r="W42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12</v>
      </c>
      <c r="X42" s="85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13</v>
      </c>
      <c r="Y42" s="111" t="b">
        <f>ISNUMBER(SEARCH($H$4,Tabla1[[#This Row],[Materia]],1))</f>
        <v>1</v>
      </c>
      <c r="Z42" s="73" t="b">
        <f>IFERROR(IF(
    (COUNTIF(Tabla1[[#This Row],[R1]:[A6]], _xlfn.XLOOKUP($H$4,Tabla1[Materia],Tabla1[Numero],""))) &gt; 0,
    TRUE,
    FALSE
),FALSE)</f>
        <v>0</v>
      </c>
      <c r="AA42" s="113">
        <v>31</v>
      </c>
      <c r="AB42" s="19"/>
      <c r="AC42" s="19"/>
      <c r="AD42" s="19"/>
      <c r="AE42" s="19"/>
      <c r="AF42" s="19"/>
      <c r="AG42" s="19"/>
      <c r="AH42" s="19"/>
      <c r="AI42" s="19"/>
      <c r="AJ42" s="23"/>
    </row>
    <row r="43" spans="1:36" ht="17.25" customHeight="1" x14ac:dyDescent="0.25">
      <c r="A43" s="17"/>
      <c r="B43" s="44">
        <v>31</v>
      </c>
      <c r="C43" s="172">
        <v>31</v>
      </c>
      <c r="D43" s="44" t="s">
        <v>76</v>
      </c>
      <c r="E43" s="68" t="s">
        <v>143</v>
      </c>
      <c r="F43" s="44" t="str">
        <f>_xlfn.XLOOKUP(Tabla1[[#This Row],[Estado]],Control!$C$33:$C$35,Control!$B$33:$B$35,"")</f>
        <v/>
      </c>
      <c r="G43" s="119"/>
      <c r="H43" s="183"/>
      <c r="I43" s="44" t="s">
        <v>16</v>
      </c>
      <c r="J43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3" s="44" t="s">
        <v>62</v>
      </c>
      <c r="L43" s="44">
        <v>10</v>
      </c>
      <c r="M43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3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O43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3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3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3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3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43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12</v>
      </c>
      <c r="U43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V43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3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3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3" s="112" t="b">
        <f>ISNUMBER(SEARCH($H$4,Tabla1[[#This Row],[Materia]],1))</f>
        <v>1</v>
      </c>
      <c r="Z43" s="110" t="b">
        <f>IFERROR(IF(
    (COUNTIF(Tabla1[[#This Row],[R1]:[A6]], _xlfn.XLOOKUP($H$4,Tabla1[Materia],Tabla1[Numero],""))) &gt; 0,
    TRUE,
    FALSE
),FALSE)</f>
        <v>0</v>
      </c>
      <c r="AA43" s="113">
        <v>32</v>
      </c>
      <c r="AB43" s="19"/>
      <c r="AC43" s="19"/>
      <c r="AD43" s="19"/>
      <c r="AE43" s="19"/>
      <c r="AF43" s="19"/>
      <c r="AG43" s="19"/>
      <c r="AH43" s="19"/>
      <c r="AI43" s="19"/>
      <c r="AJ43" s="23"/>
    </row>
    <row r="44" spans="1:36" ht="17.25" customHeight="1" x14ac:dyDescent="0.25">
      <c r="A44" s="17"/>
      <c r="B44" s="44">
        <v>39</v>
      </c>
      <c r="C44" s="172">
        <v>39</v>
      </c>
      <c r="D44" s="44" t="s">
        <v>76</v>
      </c>
      <c r="E44" s="68" t="s">
        <v>116</v>
      </c>
      <c r="F44" s="44" t="str">
        <f>_xlfn.XLOOKUP(Tabla1[[#This Row],[Estado]],Control!$C$33:$C$35,Control!$B$33:$B$35,"")</f>
        <v/>
      </c>
      <c r="G44" s="119"/>
      <c r="H44" s="183"/>
      <c r="I44" s="44" t="s">
        <v>16</v>
      </c>
      <c r="J44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4" s="44" t="s">
        <v>62</v>
      </c>
      <c r="L44" s="44">
        <v>4</v>
      </c>
      <c r="M44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44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O44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17</v>
      </c>
      <c r="P44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4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4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4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T44" s="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44" s="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4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4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4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4" s="111" t="b">
        <f>ISNUMBER(SEARCH($H$4,Tabla1[[#This Row],[Materia]],1))</f>
        <v>1</v>
      </c>
      <c r="Z44" s="109" t="b">
        <f>IFERROR(IF(
    (COUNTIF(Tabla1[[#This Row],[R1]:[A6]], _xlfn.XLOOKUP($H$4,Tabla1[Materia],Tabla1[Numero],""))) &gt; 0,
    TRUE,
    FALSE
),FALSE)</f>
        <v>0</v>
      </c>
      <c r="AA44" s="113">
        <v>33</v>
      </c>
      <c r="AB44" s="19"/>
      <c r="AC44" s="19"/>
      <c r="AD44" s="19"/>
      <c r="AE44" s="19"/>
      <c r="AF44" s="19"/>
      <c r="AG44" s="19"/>
      <c r="AH44" s="19"/>
      <c r="AI44" s="19"/>
      <c r="AJ44" s="23"/>
    </row>
    <row r="45" spans="1:36" ht="17.25" customHeight="1" x14ac:dyDescent="0.25">
      <c r="A45" s="17"/>
      <c r="B45" s="44">
        <v>34</v>
      </c>
      <c r="C45" s="172">
        <v>34</v>
      </c>
      <c r="D45" s="44" t="s">
        <v>76</v>
      </c>
      <c r="E45" s="68" t="s">
        <v>117</v>
      </c>
      <c r="F45" s="44" t="str">
        <f>_xlfn.XLOOKUP(Tabla1[[#This Row],[Estado]],Control!$C$33:$C$35,Control!$B$33:$B$35,"")</f>
        <v/>
      </c>
      <c r="G45" s="119"/>
      <c r="H45" s="183"/>
      <c r="I45" s="44" t="s">
        <v>16</v>
      </c>
      <c r="J45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5" s="44" t="s">
        <v>62</v>
      </c>
      <c r="L45" s="44">
        <v>6</v>
      </c>
      <c r="M45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N45" s="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45" s="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5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5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5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5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45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9</v>
      </c>
      <c r="U45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15</v>
      </c>
      <c r="V45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5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5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5" s="111" t="b">
        <f>ISNUMBER(SEARCH($H$4,Tabla1[[#This Row],[Materia]],1))</f>
        <v>1</v>
      </c>
      <c r="Z45" s="73" t="b">
        <f>IFERROR(IF(
    (COUNTIF(Tabla1[[#This Row],[R1]:[A6]], _xlfn.XLOOKUP($H$4,Tabla1[Materia],Tabla1[Numero],""))) &gt; 0,
    TRUE,
    FALSE
),FALSE)</f>
        <v>0</v>
      </c>
      <c r="AA45" s="113">
        <v>34</v>
      </c>
      <c r="AB45" s="19"/>
      <c r="AC45" s="19"/>
      <c r="AD45" s="19"/>
      <c r="AE45" s="19"/>
      <c r="AF45" s="19"/>
      <c r="AG45" s="19"/>
      <c r="AH45" s="19"/>
      <c r="AI45" s="19"/>
      <c r="AJ45" s="23"/>
    </row>
    <row r="46" spans="1:36" ht="17.25" customHeight="1" thickBot="1" x14ac:dyDescent="0.3">
      <c r="A46" s="17"/>
      <c r="B46" s="44">
        <v>38</v>
      </c>
      <c r="C46" s="172">
        <v>38</v>
      </c>
      <c r="D46" s="44" t="s">
        <v>76</v>
      </c>
      <c r="E46" s="68" t="s">
        <v>118</v>
      </c>
      <c r="F46" s="44" t="str">
        <f>_xlfn.XLOOKUP(Tabla1[[#This Row],[Estado]],Control!$C$33:$C$35,Control!$B$33:$B$35,"")</f>
        <v/>
      </c>
      <c r="G46" s="119"/>
      <c r="H46" s="183"/>
      <c r="I46" s="44" t="s">
        <v>16</v>
      </c>
      <c r="J46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6" s="44" t="s">
        <v>62</v>
      </c>
      <c r="L46" s="44">
        <v>6</v>
      </c>
      <c r="M46" s="20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6" s="20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46" s="20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6" s="20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6" s="2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6" s="20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6" s="20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T46" s="20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12</v>
      </c>
      <c r="U46" s="20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V46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14</v>
      </c>
      <c r="W46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6" s="8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6" s="84" t="b">
        <f>ISNUMBER(SEARCH($H$4,Tabla1[[#This Row],[Materia]],1))</f>
        <v>1</v>
      </c>
      <c r="Z46" s="204" t="b">
        <f>IFERROR(IF(
    (COUNTIF(Tabla1[[#This Row],[R1]:[A6]], _xlfn.XLOOKUP($H$4,Tabla1[Materia],Tabla1[Numero],""))) &gt; 0,
    TRUE,
    FALSE
),FALSE)</f>
        <v>0</v>
      </c>
      <c r="AA46" s="113">
        <v>35</v>
      </c>
      <c r="AB46" s="19"/>
      <c r="AC46" s="19"/>
      <c r="AD46" s="19"/>
      <c r="AE46" s="19"/>
      <c r="AF46" s="19"/>
      <c r="AG46" s="19"/>
      <c r="AH46" s="19"/>
      <c r="AI46" s="19"/>
      <c r="AJ46" s="23"/>
    </row>
    <row r="47" spans="1:36" ht="17.25" customHeight="1" x14ac:dyDescent="0.25">
      <c r="A47" s="17"/>
      <c r="B47" s="205">
        <v>41</v>
      </c>
      <c r="C47" s="206">
        <v>41</v>
      </c>
      <c r="D47" s="207" t="s">
        <v>77</v>
      </c>
      <c r="E47" s="208" t="s">
        <v>110</v>
      </c>
      <c r="F47" s="207" t="str">
        <f>_xlfn.XLOOKUP(Tabla1[[#This Row],[Estado]],Control!$C$33:$C$35,Control!$B$33:$B$35,"")</f>
        <v/>
      </c>
      <c r="G47" s="209"/>
      <c r="H47" s="210"/>
      <c r="I47" s="207" t="s">
        <v>18</v>
      </c>
      <c r="J47" s="20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7" s="207" t="s">
        <v>62</v>
      </c>
      <c r="L47" s="207">
        <v>4</v>
      </c>
      <c r="M47" s="2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N47" s="2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47" s="21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P47" s="21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7" s="21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7" s="2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7" s="2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T47" s="21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U47" s="21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47" s="21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7" s="21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7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7" s="214" t="b">
        <f>ISNUMBER(SEARCH($H$4,Tabla1[[#This Row],[Materia]],1))</f>
        <v>1</v>
      </c>
      <c r="Z47" s="215" t="b">
        <f>IFERROR(IF(
    (COUNTIF(Tabla1[[#This Row],[R1]:[A6]], _xlfn.XLOOKUP($H$4,Tabla1[Materia],Tabla1[Numero],""))) &gt; 0,
    TRUE,
    FALSE
),FALSE)</f>
        <v>0</v>
      </c>
      <c r="AA47" s="113">
        <v>36</v>
      </c>
      <c r="AB47" s="19"/>
      <c r="AC47" s="19"/>
      <c r="AD47" s="19"/>
      <c r="AE47" s="19"/>
      <c r="AF47" s="19"/>
      <c r="AG47" s="19"/>
      <c r="AH47" s="19"/>
      <c r="AI47" s="19"/>
      <c r="AJ47" s="23"/>
    </row>
    <row r="48" spans="1:36" ht="17.25" customHeight="1" x14ac:dyDescent="0.25">
      <c r="A48" s="17"/>
      <c r="B48" s="216">
        <v>35</v>
      </c>
      <c r="C48" s="173">
        <v>35</v>
      </c>
      <c r="D48" s="18" t="s">
        <v>77</v>
      </c>
      <c r="E48" s="69" t="s">
        <v>119</v>
      </c>
      <c r="F48" s="18" t="str">
        <f>_xlfn.XLOOKUP(Tabla1[[#This Row],[Estado]],Control!$C$33:$C$35,Control!$B$33:$B$35,"")</f>
        <v/>
      </c>
      <c r="G48" s="120"/>
      <c r="H48" s="184"/>
      <c r="I48" s="18" t="s">
        <v>15</v>
      </c>
      <c r="J48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8" s="18" t="s">
        <v>62</v>
      </c>
      <c r="L48" s="18">
        <v>8</v>
      </c>
      <c r="M48" s="1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N48" s="10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48" s="10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P48" s="10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8" s="1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8" s="1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8" s="1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48" s="10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48" s="10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8" s="10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8" s="10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8" s="1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8" s="111" t="b">
        <f>ISNUMBER(SEARCH($H$4,Tabla1[[#This Row],[Materia]],1))</f>
        <v>1</v>
      </c>
      <c r="Z48" s="73" t="b">
        <f>IFERROR(IF(
    (COUNTIF(Tabla1[[#This Row],[R1]:[A6]], _xlfn.XLOOKUP($H$4,Tabla1[Materia],Tabla1[Numero],""))) &gt; 0,
    TRUE,
    FALSE
),FALSE)</f>
        <v>0</v>
      </c>
      <c r="AA48" s="113">
        <v>37</v>
      </c>
      <c r="AB48" s="19"/>
      <c r="AC48" s="19"/>
      <c r="AD48" s="19"/>
      <c r="AE48" s="19"/>
      <c r="AF48" s="19"/>
      <c r="AG48" s="19"/>
      <c r="AH48" s="19"/>
      <c r="AI48" s="19"/>
      <c r="AJ48" s="23"/>
    </row>
    <row r="49" spans="1:36" ht="17.25" customHeight="1" x14ac:dyDescent="0.25">
      <c r="A49" s="17"/>
      <c r="B49" s="216">
        <v>36</v>
      </c>
      <c r="C49" s="173">
        <v>36</v>
      </c>
      <c r="D49" s="18" t="s">
        <v>77</v>
      </c>
      <c r="E49" s="69" t="s">
        <v>120</v>
      </c>
      <c r="F49" s="18" t="str">
        <f>_xlfn.XLOOKUP(Tabla1[[#This Row],[Estado]],Control!$C$33:$C$35,Control!$B$33:$B$35,"")</f>
        <v/>
      </c>
      <c r="G49" s="120"/>
      <c r="H49" s="184"/>
      <c r="I49" s="18" t="s">
        <v>15</v>
      </c>
      <c r="J49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9" s="18" t="s">
        <v>62</v>
      </c>
      <c r="L49" s="18">
        <v>6</v>
      </c>
      <c r="M49" s="1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49" s="10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21</v>
      </c>
      <c r="O49" s="10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9" s="10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9" s="1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9" s="1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9" s="1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49" s="10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49" s="10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20</v>
      </c>
      <c r="V49" s="10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9" s="10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9" s="1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9" s="111" t="b">
        <f>ISNUMBER(SEARCH($H$4,Tabla1[[#This Row],[Materia]],1))</f>
        <v>1</v>
      </c>
      <c r="Z49" s="73" t="b">
        <f>IFERROR(IF(
    (COUNTIF(Tabla1[[#This Row],[R1]:[A6]], _xlfn.XLOOKUP($H$4,Tabla1[Materia],Tabla1[Numero],""))) &gt; 0,
    TRUE,
    FALSE
),FALSE)</f>
        <v>0</v>
      </c>
      <c r="AA49" s="113">
        <v>38</v>
      </c>
      <c r="AB49" s="19"/>
      <c r="AC49" s="19"/>
      <c r="AD49" s="19"/>
      <c r="AE49" s="19"/>
      <c r="AF49" s="19"/>
      <c r="AG49" s="19"/>
      <c r="AH49" s="19"/>
      <c r="AI49" s="19"/>
      <c r="AJ49" s="23"/>
    </row>
    <row r="50" spans="1:36" ht="17.25" customHeight="1" x14ac:dyDescent="0.25">
      <c r="A50" s="17"/>
      <c r="B50" s="216">
        <v>37</v>
      </c>
      <c r="C50" s="173">
        <v>37</v>
      </c>
      <c r="D50" s="18" t="s">
        <v>77</v>
      </c>
      <c r="E50" s="69" t="s">
        <v>121</v>
      </c>
      <c r="F50" s="18" t="str">
        <f>_xlfn.XLOOKUP(Tabla1[[#This Row],[Estado]],Control!$C$33:$C$35,Control!$B$33:$B$35,"")</f>
        <v/>
      </c>
      <c r="G50" s="120"/>
      <c r="H50" s="184"/>
      <c r="I50" s="18" t="s">
        <v>15</v>
      </c>
      <c r="J50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0" s="18" t="s">
        <v>62</v>
      </c>
      <c r="L50" s="18">
        <v>6</v>
      </c>
      <c r="M50" s="1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N50" s="10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50" s="10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P50" s="10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Q50" s="1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0" s="1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0" s="1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T50" s="10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U50" s="10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V50" s="10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0" s="10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0" s="1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0" s="111" t="b">
        <f>ISNUMBER(SEARCH($H$4,Tabla1[[#This Row],[Materia]],1))</f>
        <v>1</v>
      </c>
      <c r="Z50" s="73" t="b">
        <f>IFERROR(IF(
    (COUNTIF(Tabla1[[#This Row],[R1]:[A6]], _xlfn.XLOOKUP($H$4,Tabla1[Materia],Tabla1[Numero],""))) &gt; 0,
    TRUE,
    FALSE
),FALSE)</f>
        <v>0</v>
      </c>
      <c r="AA50" s="113">
        <v>39</v>
      </c>
      <c r="AB50" s="19"/>
      <c r="AC50" s="19"/>
      <c r="AD50" s="19"/>
      <c r="AE50" s="19"/>
      <c r="AF50" s="19"/>
      <c r="AG50" s="19"/>
      <c r="AH50" s="19"/>
      <c r="AI50" s="19"/>
      <c r="AJ50" s="23"/>
    </row>
    <row r="51" spans="1:36" ht="17.25" customHeight="1" x14ac:dyDescent="0.25">
      <c r="A51" s="17"/>
      <c r="B51" s="216">
        <v>33</v>
      </c>
      <c r="C51" s="173">
        <v>33</v>
      </c>
      <c r="D51" s="18" t="s">
        <v>77</v>
      </c>
      <c r="E51" s="69" t="s">
        <v>122</v>
      </c>
      <c r="F51" s="18" t="str">
        <f>_xlfn.XLOOKUP(Tabla1[[#This Row],[Estado]],Control!$C$33:$C$35,Control!$B$33:$B$35,"")</f>
        <v/>
      </c>
      <c r="G51" s="120"/>
      <c r="H51" s="184"/>
      <c r="I51" s="18" t="s">
        <v>16</v>
      </c>
      <c r="J51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1" s="18" t="s">
        <v>62</v>
      </c>
      <c r="L51" s="18">
        <v>6</v>
      </c>
      <c r="M51" s="1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N51" s="10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O51" s="10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1" s="10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1" s="1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1" s="1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1" s="1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T51" s="10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1" s="10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1" s="10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1" s="10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1" s="1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1" s="111" t="b">
        <f>ISNUMBER(SEARCH($H$4,Tabla1[[#This Row],[Materia]],1))</f>
        <v>1</v>
      </c>
      <c r="Z51" s="73" t="b">
        <f>IFERROR(IF(
    (COUNTIF(Tabla1[[#This Row],[R1]:[A6]], _xlfn.XLOOKUP($H$4,Tabla1[Materia],Tabla1[Numero],""))) &gt; 0,
    TRUE,
    FALSE
),FALSE)</f>
        <v>0</v>
      </c>
      <c r="AA51" s="113">
        <v>40</v>
      </c>
      <c r="AB51" s="19"/>
      <c r="AC51" s="19"/>
      <c r="AD51" s="19"/>
      <c r="AE51" s="19"/>
      <c r="AF51" s="19"/>
      <c r="AG51" s="19"/>
      <c r="AH51" s="19"/>
      <c r="AI51" s="19"/>
      <c r="AJ51" s="23"/>
    </row>
    <row r="52" spans="1:36" ht="17.25" customHeight="1" x14ac:dyDescent="0.25">
      <c r="A52" s="17"/>
      <c r="B52" s="217">
        <v>40</v>
      </c>
      <c r="C52" s="174">
        <v>40</v>
      </c>
      <c r="D52" s="123" t="s">
        <v>77</v>
      </c>
      <c r="E52" s="124" t="s">
        <v>123</v>
      </c>
      <c r="F52" s="123" t="str">
        <f>_xlfn.XLOOKUP(Tabla1[[#This Row],[Estado]],Control!$C$33:$C$35,Control!$B$33:$B$35,"")</f>
        <v/>
      </c>
      <c r="G52" s="125"/>
      <c r="H52" s="185"/>
      <c r="I52" s="123" t="s">
        <v>15</v>
      </c>
      <c r="J52" s="12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2" s="123" t="s">
        <v>62</v>
      </c>
      <c r="L52" s="123">
        <v>4</v>
      </c>
      <c r="M52" s="12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N52" s="12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2" s="12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2" s="12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2" s="12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2" s="12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2" s="12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T52" s="12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U52" s="12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2" s="12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2" s="12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2" s="22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2" s="111" t="b">
        <f>ISNUMBER(SEARCH($H$4,Tabla1[[#This Row],[Materia]],1))</f>
        <v>1</v>
      </c>
      <c r="Z52" s="73" t="b">
        <f>IFERROR(IF(
    (COUNTIF(Tabla1[[#This Row],[R1]:[A6]], _xlfn.XLOOKUP($H$4,Tabla1[Materia],Tabla1[Numero],""))) &gt; 0,
    TRUE,
    FALSE
),FALSE)</f>
        <v>0</v>
      </c>
      <c r="AA52" s="113">
        <v>41</v>
      </c>
      <c r="AB52" s="19"/>
      <c r="AC52" s="19"/>
      <c r="AD52" s="19"/>
      <c r="AE52" s="19"/>
      <c r="AF52" s="19"/>
      <c r="AG52" s="19"/>
      <c r="AH52" s="19"/>
      <c r="AI52" s="19"/>
      <c r="AJ52" s="23"/>
    </row>
    <row r="53" spans="1:36" ht="17.25" customHeight="1" x14ac:dyDescent="0.25">
      <c r="A53" s="17"/>
      <c r="B53" s="218" t="s">
        <v>27</v>
      </c>
      <c r="C53" s="175" t="s">
        <v>27</v>
      </c>
      <c r="D53" s="43" t="s">
        <v>77</v>
      </c>
      <c r="E53" s="70" t="s">
        <v>124</v>
      </c>
      <c r="F53" s="43" t="str">
        <f>_xlfn.XLOOKUP(Tabla1[[#This Row],[Estado]],Control!$C$33:$C$35,Control!$B$33:$B$35,"")</f>
        <v/>
      </c>
      <c r="G53" s="121"/>
      <c r="H53" s="186"/>
      <c r="I53" s="43" t="s">
        <v>15</v>
      </c>
      <c r="J53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3" s="43" t="s">
        <v>63</v>
      </c>
      <c r="L53" s="43">
        <v>6</v>
      </c>
      <c r="M53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38</v>
      </c>
      <c r="N53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3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3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3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3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3" s="14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53" s="13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3" s="13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3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3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3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3" s="111" t="b">
        <f>ISNUMBER(SEARCH($H$4,Tabla1[[#This Row],[Materia]],1))</f>
        <v>1</v>
      </c>
      <c r="Z53" s="73" t="b">
        <f>IFERROR(IF(
    (COUNTIF(Tabla1[[#This Row],[R1]:[A6]], _xlfn.XLOOKUP($H$4,Tabla1[Materia],Tabla1[Numero],""))) &gt; 0,
    TRUE,
    FALSE
),FALSE)</f>
        <v>0</v>
      </c>
      <c r="AA53" s="113">
        <v>42</v>
      </c>
      <c r="AB53" s="19"/>
      <c r="AC53" s="19"/>
      <c r="AD53" s="19"/>
      <c r="AE53" s="19"/>
      <c r="AF53" s="19"/>
      <c r="AG53" s="19"/>
      <c r="AH53" s="19"/>
      <c r="AI53" s="19"/>
      <c r="AJ53" s="23"/>
    </row>
    <row r="54" spans="1:36" ht="17.25" customHeight="1" x14ac:dyDescent="0.25">
      <c r="A54" s="17"/>
      <c r="B54" s="218" t="s">
        <v>28</v>
      </c>
      <c r="C54" s="175" t="s">
        <v>28</v>
      </c>
      <c r="D54" s="43" t="s">
        <v>77</v>
      </c>
      <c r="E54" s="70" t="s">
        <v>125</v>
      </c>
      <c r="F54" s="43" t="str">
        <f>_xlfn.XLOOKUP(Tabla1[[#This Row],[Estado]],Control!$C$33:$C$35,Control!$B$33:$B$35,"")</f>
        <v/>
      </c>
      <c r="G54" s="121"/>
      <c r="H54" s="186"/>
      <c r="I54" s="43" t="s">
        <v>16</v>
      </c>
      <c r="J54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4" s="43" t="s">
        <v>63</v>
      </c>
      <c r="L54" s="43">
        <v>4</v>
      </c>
      <c r="M54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36</v>
      </c>
      <c r="N54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4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4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4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4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4" s="14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54" s="13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4" s="13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4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4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4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4" s="111" t="b">
        <f>ISNUMBER(SEARCH($H$4,Tabla1[[#This Row],[Materia]],1))</f>
        <v>1</v>
      </c>
      <c r="Z54" s="73" t="b">
        <f>IFERROR(IF(
    (COUNTIF(Tabla1[[#This Row],[R1]:[A6]], _xlfn.XLOOKUP($H$4,Tabla1[Materia],Tabla1[Numero],""))) &gt; 0,
    TRUE,
    FALSE
),FALSE)</f>
        <v>0</v>
      </c>
      <c r="AA54" s="113">
        <v>43</v>
      </c>
      <c r="AB54" s="19"/>
      <c r="AC54" s="19"/>
      <c r="AD54" s="19"/>
      <c r="AE54" s="19"/>
      <c r="AF54" s="19"/>
      <c r="AG54" s="19"/>
      <c r="AH54" s="19"/>
      <c r="AI54" s="19"/>
      <c r="AJ54" s="23"/>
    </row>
    <row r="55" spans="1:36" ht="17.25" customHeight="1" x14ac:dyDescent="0.25">
      <c r="A55" s="17"/>
      <c r="B55" s="218" t="s">
        <v>29</v>
      </c>
      <c r="C55" s="175" t="s">
        <v>29</v>
      </c>
      <c r="D55" s="43" t="s">
        <v>77</v>
      </c>
      <c r="E55" s="70" t="s">
        <v>126</v>
      </c>
      <c r="F55" s="43" t="str">
        <f>_xlfn.XLOOKUP(Tabla1[[#This Row],[Estado]],Control!$C$33:$C$35,Control!$B$33:$B$35,"")</f>
        <v/>
      </c>
      <c r="G55" s="121"/>
      <c r="H55" s="186"/>
      <c r="I55" s="43" t="s">
        <v>16</v>
      </c>
      <c r="J55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5" s="43" t="s">
        <v>63</v>
      </c>
      <c r="L55" s="43">
        <v>6</v>
      </c>
      <c r="M55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55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5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5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5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5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5" s="14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14</v>
      </c>
      <c r="T55" s="13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5" s="13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5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5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5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5" s="111" t="b">
        <f>ISNUMBER(SEARCH($H$4,Tabla1[[#This Row],[Materia]],1))</f>
        <v>1</v>
      </c>
      <c r="Z55" s="73" t="b">
        <f>IFERROR(IF(
    (COUNTIF(Tabla1[[#This Row],[R1]:[A6]], _xlfn.XLOOKUP($H$4,Tabla1[Materia],Tabla1[Numero],""))) &gt; 0,
    TRUE,
    FALSE
),FALSE)</f>
        <v>0</v>
      </c>
      <c r="AA55" s="113">
        <v>44</v>
      </c>
      <c r="AB55" s="19"/>
      <c r="AC55" s="19"/>
      <c r="AD55" s="19"/>
      <c r="AE55" s="19"/>
      <c r="AF55" s="19"/>
      <c r="AG55" s="19"/>
      <c r="AH55" s="19"/>
      <c r="AI55" s="19"/>
      <c r="AJ55" s="23"/>
    </row>
    <row r="56" spans="1:36" ht="17.25" customHeight="1" x14ac:dyDescent="0.25">
      <c r="A56" s="17"/>
      <c r="B56" s="218" t="s">
        <v>30</v>
      </c>
      <c r="C56" s="175" t="s">
        <v>30</v>
      </c>
      <c r="D56" s="43" t="s">
        <v>77</v>
      </c>
      <c r="E56" s="70" t="s">
        <v>127</v>
      </c>
      <c r="F56" s="43" t="str">
        <f>_xlfn.XLOOKUP(Tabla1[[#This Row],[Estado]],Control!$C$33:$C$35,Control!$B$33:$B$35,"")</f>
        <v/>
      </c>
      <c r="G56" s="121"/>
      <c r="H56" s="186"/>
      <c r="I56" s="43" t="s">
        <v>16</v>
      </c>
      <c r="J56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6" s="43" t="s">
        <v>63</v>
      </c>
      <c r="L56" s="43">
        <v>4</v>
      </c>
      <c r="M56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56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6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6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6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6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6" s="10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T56" s="10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6" s="10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6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6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6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6" s="111" t="b">
        <f>ISNUMBER(SEARCH($H$4,Tabla1[[#This Row],[Materia]],1))</f>
        <v>1</v>
      </c>
      <c r="Z56" s="73" t="b">
        <f>IFERROR(IF(
    (COUNTIF(Tabla1[[#This Row],[R1]:[A6]], _xlfn.XLOOKUP($H$4,Tabla1[Materia],Tabla1[Numero],""))) &gt; 0,
    TRUE,
    FALSE
),FALSE)</f>
        <v>0</v>
      </c>
      <c r="AA56" s="113">
        <v>45</v>
      </c>
      <c r="AB56" s="19"/>
      <c r="AC56" s="19"/>
      <c r="AD56" s="19"/>
      <c r="AE56" s="19"/>
      <c r="AF56" s="19"/>
      <c r="AG56" s="19"/>
      <c r="AH56" s="19"/>
      <c r="AI56" s="19"/>
      <c r="AJ56" s="23"/>
    </row>
    <row r="57" spans="1:36" ht="17.25" customHeight="1" x14ac:dyDescent="0.25">
      <c r="A57" s="17"/>
      <c r="B57" s="218" t="s">
        <v>31</v>
      </c>
      <c r="C57" s="175" t="s">
        <v>31</v>
      </c>
      <c r="D57" s="43" t="s">
        <v>77</v>
      </c>
      <c r="E57" s="70" t="s">
        <v>128</v>
      </c>
      <c r="F57" s="43" t="str">
        <f>_xlfn.XLOOKUP(Tabla1[[#This Row],[Estado]],Control!$C$33:$C$35,Control!$B$33:$B$35,"")</f>
        <v/>
      </c>
      <c r="G57" s="121"/>
      <c r="H57" s="186"/>
      <c r="I57" s="43" t="s">
        <v>16</v>
      </c>
      <c r="J57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7" s="43" t="s">
        <v>63</v>
      </c>
      <c r="L57" s="43">
        <v>6</v>
      </c>
      <c r="M57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32</v>
      </c>
      <c r="N57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7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7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7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7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7" s="10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21</v>
      </c>
      <c r="T57" s="10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7" s="10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7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7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7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7" s="111" t="b">
        <f>ISNUMBER(SEARCH($H$4,Tabla1[[#This Row],[Materia]],1))</f>
        <v>1</v>
      </c>
      <c r="Z57" s="110" t="b">
        <f>IFERROR(IF(
    (COUNTIF(Tabla1[[#This Row],[R1]:[A6]], _xlfn.XLOOKUP($H$4,Tabla1[Materia],Tabla1[Numero],""))) &gt; 0,
    TRUE,
    FALSE
),FALSE)</f>
        <v>0</v>
      </c>
      <c r="AA57" s="113">
        <v>46</v>
      </c>
      <c r="AB57" s="19"/>
      <c r="AC57" s="19"/>
      <c r="AD57" s="19"/>
      <c r="AE57" s="19"/>
      <c r="AF57" s="19"/>
      <c r="AG57" s="19"/>
      <c r="AH57" s="19"/>
      <c r="AI57" s="19"/>
      <c r="AJ57" s="23"/>
    </row>
    <row r="58" spans="1:36" ht="17.25" customHeight="1" x14ac:dyDescent="0.25">
      <c r="A58" s="17"/>
      <c r="B58" s="218" t="s">
        <v>32</v>
      </c>
      <c r="C58" s="175" t="s">
        <v>32</v>
      </c>
      <c r="D58" s="43" t="s">
        <v>77</v>
      </c>
      <c r="E58" s="70" t="s">
        <v>129</v>
      </c>
      <c r="F58" s="43" t="str">
        <f>_xlfn.XLOOKUP(Tabla1[[#This Row],[Estado]],Control!$C$33:$C$35,Control!$B$33:$B$35,"")</f>
        <v/>
      </c>
      <c r="G58" s="121"/>
      <c r="H58" s="186"/>
      <c r="I58" s="43" t="s">
        <v>16</v>
      </c>
      <c r="J58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8" s="43" t="s">
        <v>63</v>
      </c>
      <c r="L58" s="43">
        <v>4</v>
      </c>
      <c r="M58" s="10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N58" s="10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58" s="10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P58" s="10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8" s="10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8" s="10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8" s="10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T58" s="10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U58" s="10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58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8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8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8" s="111" t="b">
        <f>ISNUMBER(SEARCH($H$4,Tabla1[[#This Row],[Materia]],1))</f>
        <v>1</v>
      </c>
      <c r="Z58" s="109" t="b">
        <f>IFERROR(IF(
    (COUNTIF(Tabla1[[#This Row],[R1]:[A6]], _xlfn.XLOOKUP($H$4,Tabla1[Materia],Tabla1[Numero],""))) &gt; 0,
    TRUE,
    FALSE
),FALSE)</f>
        <v>0</v>
      </c>
      <c r="AA58" s="113">
        <v>47</v>
      </c>
      <c r="AB58" s="19"/>
      <c r="AC58" s="19"/>
      <c r="AD58" s="19"/>
      <c r="AE58" s="19"/>
      <c r="AF58" s="26"/>
      <c r="AG58" s="26"/>
      <c r="AH58" s="19"/>
      <c r="AI58" s="19"/>
      <c r="AJ58" s="23"/>
    </row>
    <row r="59" spans="1:36" ht="17.25" customHeight="1" x14ac:dyDescent="0.25">
      <c r="A59" s="17"/>
      <c r="B59" s="218" t="s">
        <v>33</v>
      </c>
      <c r="C59" s="175" t="s">
        <v>33</v>
      </c>
      <c r="D59" s="43" t="s">
        <v>77</v>
      </c>
      <c r="E59" s="70" t="s">
        <v>130</v>
      </c>
      <c r="F59" s="43" t="str">
        <f>_xlfn.XLOOKUP(Tabla1[[#This Row],[Estado]],Control!$C$33:$C$35,Control!$B$33:$B$35,"")</f>
        <v/>
      </c>
      <c r="G59" s="121"/>
      <c r="H59" s="186"/>
      <c r="I59" s="43" t="s">
        <v>15</v>
      </c>
      <c r="J59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9" s="43" t="s">
        <v>63</v>
      </c>
      <c r="L59" s="43">
        <v>4</v>
      </c>
      <c r="M59" s="1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59" s="13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9" s="13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9" s="13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9" s="13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9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9" s="14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T59" s="13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9" s="13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9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9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9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9" s="111" t="b">
        <f>ISNUMBER(SEARCH($H$4,Tabla1[[#This Row],[Materia]],1))</f>
        <v>1</v>
      </c>
      <c r="Z59" s="73" t="b">
        <f>IFERROR(IF(
    (COUNTIF(Tabla1[[#This Row],[R1]:[A6]], _xlfn.XLOOKUP($H$4,Tabla1[Materia],Tabla1[Numero],""))) &gt; 0,
    TRUE,
    FALSE
),FALSE)</f>
        <v>0</v>
      </c>
      <c r="AA59" s="113">
        <v>48</v>
      </c>
      <c r="AB59" s="19"/>
      <c r="AC59" s="19"/>
      <c r="AD59" s="19"/>
      <c r="AE59" s="19"/>
      <c r="AF59" s="19"/>
      <c r="AG59" s="19"/>
      <c r="AH59" s="19"/>
      <c r="AI59" s="19"/>
      <c r="AJ59" s="23"/>
    </row>
    <row r="60" spans="1:36" ht="17.25" customHeight="1" x14ac:dyDescent="0.25">
      <c r="A60" s="17"/>
      <c r="B60" s="218" t="s">
        <v>34</v>
      </c>
      <c r="C60" s="175" t="s">
        <v>34</v>
      </c>
      <c r="D60" s="43" t="s">
        <v>77</v>
      </c>
      <c r="E60" s="70" t="s">
        <v>131</v>
      </c>
      <c r="F60" s="43" t="str">
        <f>_xlfn.XLOOKUP(Tabla1[[#This Row],[Estado]],Control!$C$33:$C$35,Control!$B$33:$B$35,"")</f>
        <v/>
      </c>
      <c r="G60" s="121"/>
      <c r="H60" s="186"/>
      <c r="I60" s="43" t="s">
        <v>16</v>
      </c>
      <c r="J60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0" s="43" t="s">
        <v>63</v>
      </c>
      <c r="L60" s="43">
        <v>4</v>
      </c>
      <c r="M60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33</v>
      </c>
      <c r="N60" s="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0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0" s="8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0" s="8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0" s="8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0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T60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30</v>
      </c>
      <c r="U60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60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60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60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0" s="111" t="b">
        <f>ISNUMBER(SEARCH($H$4,Tabla1[[#This Row],[Materia]],1))</f>
        <v>1</v>
      </c>
      <c r="Z60" s="73" t="b">
        <f>IFERROR(IF(
    (COUNTIF(Tabla1[[#This Row],[R1]:[A6]], _xlfn.XLOOKUP($H$4,Tabla1[Materia],Tabla1[Numero],""))) &gt; 0,
    TRUE,
    FALSE
),FALSE)</f>
        <v>0</v>
      </c>
      <c r="AA60" s="113">
        <v>49</v>
      </c>
      <c r="AB60" s="19"/>
      <c r="AC60" s="19"/>
      <c r="AD60" s="19"/>
      <c r="AE60" s="19"/>
      <c r="AF60" s="19"/>
      <c r="AG60" s="19"/>
      <c r="AH60" s="19"/>
      <c r="AI60" s="19"/>
      <c r="AJ60" s="23"/>
    </row>
    <row r="61" spans="1:36" ht="17.25" customHeight="1" x14ac:dyDescent="0.25">
      <c r="A61" s="17"/>
      <c r="B61" s="218" t="s">
        <v>35</v>
      </c>
      <c r="C61" s="175" t="s">
        <v>35</v>
      </c>
      <c r="D61" s="43" t="s">
        <v>77</v>
      </c>
      <c r="E61" s="70" t="s">
        <v>132</v>
      </c>
      <c r="F61" s="43" t="str">
        <f>_xlfn.XLOOKUP(Tabla1[[#This Row],[Estado]],Control!$C$33:$C$35,Control!$B$33:$B$35,"")</f>
        <v/>
      </c>
      <c r="G61" s="121"/>
      <c r="H61" s="186"/>
      <c r="I61" s="43"/>
      <c r="J61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1" s="43" t="s">
        <v>63</v>
      </c>
      <c r="L61" s="43"/>
      <c r="M61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N61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61" s="8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P61" s="87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31</v>
      </c>
      <c r="Q61" s="87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32</v>
      </c>
      <c r="R61" s="88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34</v>
      </c>
      <c r="S61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T61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U61" s="8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22</v>
      </c>
      <c r="V61" s="10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25</v>
      </c>
      <c r="W61" s="10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30</v>
      </c>
      <c r="X61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1" s="111" t="b">
        <f>ISNUMBER(SEARCH($H$4,Tabla1[[#This Row],[Materia]],1))</f>
        <v>1</v>
      </c>
      <c r="Z61" s="73" t="b">
        <f>IFERROR(IF(
    (COUNTIF(Tabla1[[#This Row],[R1]:[A6]], _xlfn.XLOOKUP($H$4,Tabla1[Materia],Tabla1[Numero],""))) &gt; 0,
    TRUE,
    FALSE
),FALSE)</f>
        <v>0</v>
      </c>
      <c r="AA61" s="113">
        <v>50</v>
      </c>
      <c r="AB61" s="19"/>
      <c r="AC61" s="19"/>
      <c r="AD61" s="19"/>
      <c r="AE61" s="19"/>
      <c r="AF61" s="19"/>
      <c r="AG61" s="19"/>
      <c r="AH61" s="19"/>
      <c r="AI61" s="19"/>
      <c r="AJ61" s="23"/>
    </row>
    <row r="62" spans="1:36" ht="17.25" customHeight="1" thickBot="1" x14ac:dyDescent="0.3">
      <c r="A62" s="17"/>
      <c r="B62" s="43" t="s">
        <v>36</v>
      </c>
      <c r="C62" s="175" t="s">
        <v>36</v>
      </c>
      <c r="D62" s="43" t="s">
        <v>77</v>
      </c>
      <c r="E62" s="70" t="s">
        <v>134</v>
      </c>
      <c r="F62" s="43" t="str">
        <f>_xlfn.XLOOKUP(Tabla1[[#This Row],[Estado]],Control!$C$33:$C$35,Control!$B$33:$B$35,"")</f>
        <v/>
      </c>
      <c r="G62" s="121"/>
      <c r="H62" s="186"/>
      <c r="I62" s="43" t="s">
        <v>15</v>
      </c>
      <c r="J62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2" s="43" t="s">
        <v>63</v>
      </c>
      <c r="L62" s="43">
        <v>4</v>
      </c>
      <c r="M62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N62" s="22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O62" s="22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2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2" s="22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2" s="22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2" s="22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T62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30</v>
      </c>
      <c r="U62" s="22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62" s="1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62" s="1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62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2" s="219" t="b">
        <f>ISNUMBER(SEARCH($H$4,Tabla1[[#This Row],[Materia]],1))</f>
        <v>1</v>
      </c>
      <c r="Z62" s="220" t="b">
        <f>IFERROR(IF(
    (COUNTIF(Tabla1[[#This Row],[R1]:[A6]], _xlfn.XLOOKUP($H$4,Tabla1[Materia],Tabla1[Numero],""))) &gt; 0,
    TRUE,
    FALSE
),FALSE)</f>
        <v>0</v>
      </c>
      <c r="AA62" s="113">
        <v>51</v>
      </c>
      <c r="AB62" s="19"/>
      <c r="AC62" s="19"/>
      <c r="AD62" s="19"/>
      <c r="AE62" s="19"/>
      <c r="AF62" s="19"/>
      <c r="AG62" s="19"/>
      <c r="AH62" s="19"/>
      <c r="AI62" s="19"/>
      <c r="AJ62" s="23"/>
    </row>
    <row r="63" spans="1:36" ht="15.75" thickTop="1" x14ac:dyDescent="0.25">
      <c r="A63" s="17"/>
      <c r="B63" s="293"/>
      <c r="C63" s="293"/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293"/>
      <c r="W63" s="293"/>
      <c r="X63" s="293"/>
      <c r="Y63" s="225"/>
      <c r="Z63" s="26"/>
      <c r="AA63" s="26"/>
      <c r="AD63" s="23"/>
    </row>
    <row r="64" spans="1:36" x14ac:dyDescent="0.25">
      <c r="A64" s="25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AD64" s="27"/>
    </row>
    <row r="65" spans="6:7" ht="15" customHeight="1" x14ac:dyDescent="0.25">
      <c r="F65" s="51"/>
      <c r="G65" s="51"/>
    </row>
    <row r="66" spans="6:7" x14ac:dyDescent="0.25"/>
    <row r="67" spans="6:7" x14ac:dyDescent="0.25"/>
    <row r="68" spans="6:7" x14ac:dyDescent="0.25"/>
    <row r="69" spans="6:7" x14ac:dyDescent="0.25"/>
    <row r="70" spans="6:7" x14ac:dyDescent="0.25"/>
    <row r="71" spans="6:7" x14ac:dyDescent="0.25"/>
    <row r="72" spans="6:7" x14ac:dyDescent="0.25"/>
    <row r="73" spans="6:7" x14ac:dyDescent="0.25"/>
    <row r="74" spans="6:7" x14ac:dyDescent="0.25"/>
    <row r="75" spans="6:7" x14ac:dyDescent="0.25">
      <c r="G75" s="10"/>
    </row>
    <row r="76" spans="6:7" x14ac:dyDescent="0.25"/>
    <row r="77" spans="6:7" x14ac:dyDescent="0.25"/>
    <row r="78" spans="6:7" x14ac:dyDescent="0.25">
      <c r="G78" s="10"/>
    </row>
    <row r="79" spans="6:7" x14ac:dyDescent="0.25">
      <c r="G79" s="10"/>
    </row>
    <row r="80" spans="6:7" x14ac:dyDescent="0.25"/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/>
    <row r="91" spans="4:4" ht="14.25" hidden="1" customHeight="1" x14ac:dyDescent="0.25"/>
    <row r="92" spans="4:4" ht="14.25" hidden="1" customHeight="1" x14ac:dyDescent="0.25"/>
    <row r="93" spans="4:4" ht="14.25" hidden="1" customHeight="1" x14ac:dyDescent="0.25">
      <c r="D93" s="19"/>
    </row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</sheetData>
  <sheetProtection algorithmName="SHA-512" hashValue="UobAqyVlRcrciUWS4s2xIYHyJAfuqwIENPwIm6HxB+Qprwkzf7oBwub8FP3m5BI0MRcFnHyAa7Ux+FFou7aCLQ==" saltValue="lbdAXQf2bjbz+GTjcJ7Z+Q==" spinCount="100000" sheet="1" sort="0" autoFilter="0"/>
  <dataConsolidate/>
  <mergeCells count="12">
    <mergeCell ref="M10:R10"/>
    <mergeCell ref="S10:X10"/>
    <mergeCell ref="H4:L4"/>
    <mergeCell ref="B2:U2"/>
    <mergeCell ref="Q4:S4"/>
    <mergeCell ref="T4:U4"/>
    <mergeCell ref="H9:I9"/>
    <mergeCell ref="J8:L8"/>
    <mergeCell ref="H8:I8"/>
    <mergeCell ref="J9:L9"/>
    <mergeCell ref="G7:L7"/>
    <mergeCell ref="M9:X9"/>
  </mergeCells>
  <phoneticPr fontId="8" type="noConversion"/>
  <conditionalFormatting sqref="F12:F62">
    <cfRule type="iconSet" priority="401">
      <iconSet iconSet="3Symbols2" showValue="0">
        <cfvo type="percent" val="0"/>
        <cfvo type="num" val="1"/>
        <cfvo type="num" val="2"/>
      </iconSet>
    </cfRule>
  </conditionalFormatting>
  <conditionalFormatting sqref="M12:R62">
    <cfRule type="expression" dxfId="93" priority="404">
      <formula>OR(_xlfn.XLOOKUP(M12,$B$12:$B$62,$F$12:$F$62)="",_xlfn.XLOOKUP(M12,$B$12:$B$62,$F$12:$F$62)&lt;1)</formula>
    </cfRule>
    <cfRule type="expression" dxfId="92" priority="405">
      <formula>_xlfn.XLOOKUP(M12,$B$12:$B$62,$F$12:$F$62)&gt;=1</formula>
    </cfRule>
  </conditionalFormatting>
  <conditionalFormatting sqref="S12:X62">
    <cfRule type="expression" dxfId="91" priority="402">
      <formula>OR(_xlfn.XLOOKUP(S12,$B$12:$B$62,$F$12:$F$62)="",_xlfn.XLOOKUP(S12,$B$12:$B$62,$F$12:$F$62)&lt;2)</formula>
    </cfRule>
    <cfRule type="expression" dxfId="90" priority="403">
      <formula>_xlfn.XLOOKUP(S12,$B$12:$B$62,$F$12:$F$62)=2</formula>
    </cfRule>
  </conditionalFormatting>
  <dataValidations count="10">
    <dataValidation allowBlank="1" showInputMessage="1" showErrorMessage="1" promptTitle="Identificador de paso de proceso" prompt="Escriba un id. de paso de proceso único para cada forma en el diagrama." sqref="BF8" xr:uid="{4CDC4957-6C31-4064-98D7-982762A74921}"/>
    <dataValidation allowBlank="1" showInputMessage="1" showErrorMessage="1" promptTitle="Descripción del paso de proceso" prompt="Escriba el texto para el paso del proceso que aparecerá en la forma." sqref="BG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H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I8" xr:uid="{33612C46-F1C7-4434-8241-778AB2676A20}"/>
    <dataValidation allowBlank="1" showInputMessage="1" showErrorMessage="1" promptTitle="Tipo de forma" prompt="Escriba el tipo de forma que quiere que use cada paso del proceso." sqref="BJ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K8" xr:uid="{191F22DE-065C-4868-AACA-0A22B40E6101}"/>
    <dataValidation type="list" allowBlank="1" showInputMessage="1" showErrorMessage="1" sqref="I12:I62" xr:uid="{F10643AC-3B76-41B4-845C-58D937C62153}">
      <formula1>Modalidades</formula1>
    </dataValidation>
    <dataValidation type="whole" allowBlank="1" showInputMessage="1" showErrorMessage="1" sqref="H12:H62" xr:uid="{827AE982-E557-487E-BEA0-3F118EE1CC68}">
      <formula1>1</formula1>
      <formula2>10</formula2>
    </dataValidation>
    <dataValidation showInputMessage="1" sqref="H4:L4" xr:uid="{0B649C6A-C95B-4C86-A93B-6D5F9D856CD0}"/>
    <dataValidation type="list" allowBlank="1" showInputMessage="1" sqref="BJ9:BJ10 BL11:BL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876" r:id="rId4" name="TextBox1">
          <controlPr locked="0" defaultSize="0" autoLine="0" r:id="rId5">
            <anchor>
              <from>
                <xdr:col>7</xdr:col>
                <xdr:colOff>0</xdr:colOff>
                <xdr:row>2</xdr:row>
                <xdr:rowOff>180975</xdr:rowOff>
              </from>
              <to>
                <xdr:col>11</xdr:col>
                <xdr:colOff>762000</xdr:colOff>
                <xdr:row>4</xdr:row>
                <xdr:rowOff>0</xdr:rowOff>
              </to>
            </anchor>
          </controlPr>
        </control>
      </mc:Choice>
      <mc:Fallback>
        <control shapeId="1876" r:id="rId4" name="TextBox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11</xdr:col>
                <xdr:colOff>762000</xdr:colOff>
                <xdr:row>2</xdr:row>
                <xdr:rowOff>180975</xdr:rowOff>
              </from>
              <to>
                <xdr:col>12</xdr:col>
                <xdr:colOff>123825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3269" r:id="rId8" name="CommandButton1">
          <controlPr defaultSize="0" autoFill="0" autoLine="0" r:id="rId9">
            <anchor moveWithCells="1">
              <from>
                <xdr:col>4</xdr:col>
                <xdr:colOff>4648200</xdr:colOff>
                <xdr:row>10</xdr:row>
                <xdr:rowOff>66675</xdr:rowOff>
              </from>
              <to>
                <xdr:col>4</xdr:col>
                <xdr:colOff>4933950</xdr:colOff>
                <xdr:row>10</xdr:row>
                <xdr:rowOff>352425</xdr:rowOff>
              </to>
            </anchor>
          </controlPr>
        </control>
      </mc:Choice>
      <mc:Fallback>
        <control shapeId="3269" r:id="rId8" name="CommandButton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0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B12:X52</xm:sqref>
        </x14:conditionalFormatting>
        <x14:conditionalFormatting xmlns:xm="http://schemas.microsoft.com/office/excel/2006/main">
          <x14:cfRule type="expression" priority="386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B12:X38</xm:sqref>
        </x14:conditionalFormatting>
        <x14:conditionalFormatting xmlns:xm="http://schemas.microsoft.com/office/excel/2006/main">
          <x14:cfRule type="expression" priority="580" id="{00000000-000E-0000-0000-0000BC000000}">
            <xm:f>OR($M12=Control!$N$7,$N12=Control!$N$7,$O12=Control!$N$7,$P12=Control!$N$7,$Q12=Control!$N$7,$R12=Control!$N$7,$S12=Control!$N$7,$T12=Control!$N$7,$U12=Control!$N$7,$V12=Control!$N$7,$W12=Control!$N$7,$X12=Control!$N$7)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581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582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B12:X62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AE0DD1-DD61-44DA-9457-1A6EFA98F676}">
          <x14:formula1>
            <xm:f>Control!$G$55:$G$56</xm:f>
          </x14:formula1>
          <xm:sqref>T4:U4</xm:sqref>
        </x14:dataValidation>
        <x14:dataValidation type="list" allowBlank="1" showInputMessage="1" showErrorMessage="1" xr:uid="{7E83949C-A2E5-4647-BD93-0E45A69C23B2}">
          <x14:formula1>
            <xm:f>Control!$E$55:$E$59</xm:f>
          </x14:formula1>
          <xm:sqref>D12:D62</xm:sqref>
        </x14:dataValidation>
        <x14:dataValidation type="list" allowBlank="1" showInputMessage="1" showErrorMessage="1" xr:uid="{82879620-7BBF-402C-9137-DEC9E925EF8B}">
          <x14:formula1>
            <xm:f>Control!$C$32:$C$35</xm:f>
          </x14:formula1>
          <xm:sqref>G12:G13 G15:G62</xm:sqref>
        </x14:dataValidation>
        <x14:dataValidation type="list" errorStyle="warning" allowBlank="1" showInputMessage="1" showErrorMessage="1" xr:uid="{3BEFB480-2732-4497-8F02-A6B25C0A7987}">
          <x14:formula1>
            <xm:f>Control!$C$32:$C$35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K12:K62 J9:L9 H5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AM309"/>
  <sheetViews>
    <sheetView showGridLines="0" showRowColHeaders="0" zoomScale="115" zoomScaleNormal="115" workbookViewId="0">
      <selection activeCell="I7" sqref="I7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42578125" customWidth="1"/>
    <col min="12" max="12" width="32.85546875" bestFit="1" customWidth="1"/>
    <col min="13" max="13" width="15.85546875" customWidth="1"/>
    <col min="14" max="18" width="11.42578125" customWidth="1"/>
    <col min="20" max="22" width="11.42578125" customWidth="1"/>
    <col min="26" max="26" width="11.42578125" style="16"/>
    <col min="27" max="27" width="15.7109375" customWidth="1"/>
    <col min="39" max="39" width="11.7109375" customWidth="1"/>
    <col min="40" max="40" width="28.85546875" bestFit="1" customWidth="1"/>
    <col min="41" max="41" width="19.5703125" bestFit="1" customWidth="1"/>
  </cols>
  <sheetData>
    <row r="1" spans="2:26" ht="8.25" customHeight="1" x14ac:dyDescent="0.25"/>
    <row r="2" spans="2:26" ht="14.1" customHeight="1" x14ac:dyDescent="0.25">
      <c r="B2" s="261" t="s">
        <v>56</v>
      </c>
      <c r="C2" s="261"/>
      <c r="D2" s="261"/>
      <c r="E2" s="261"/>
      <c r="G2" s="262" t="s">
        <v>43</v>
      </c>
      <c r="H2" s="262"/>
      <c r="I2" s="262"/>
      <c r="J2" s="262"/>
      <c r="M2" s="28" t="s">
        <v>40</v>
      </c>
      <c r="N2" s="29" t="b">
        <v>0</v>
      </c>
      <c r="P2" s="42" t="s">
        <v>66</v>
      </c>
    </row>
    <row r="3" spans="2:26" ht="14.1" customHeight="1" x14ac:dyDescent="0.25">
      <c r="B3" s="261"/>
      <c r="C3" s="261"/>
      <c r="D3" s="261"/>
      <c r="E3" s="261"/>
      <c r="G3" s="262"/>
      <c r="H3" s="262"/>
      <c r="I3" s="262"/>
      <c r="J3" s="262"/>
      <c r="M3" s="28" t="s">
        <v>41</v>
      </c>
      <c r="N3" s="29" t="b">
        <v>0</v>
      </c>
      <c r="P3" s="41" t="s">
        <v>62</v>
      </c>
    </row>
    <row r="4" spans="2:26" ht="14.1" customHeight="1" x14ac:dyDescent="0.25">
      <c r="B4" s="261"/>
      <c r="C4" s="261"/>
      <c r="D4" s="261"/>
      <c r="E4" s="261"/>
      <c r="G4" s="262"/>
      <c r="H4" s="262"/>
      <c r="I4" s="262"/>
      <c r="J4" s="262"/>
      <c r="M4" s="28" t="s">
        <v>42</v>
      </c>
      <c r="N4" s="29" t="b">
        <v>0</v>
      </c>
      <c r="P4" s="41" t="s">
        <v>63</v>
      </c>
    </row>
    <row r="5" spans="2:26" ht="6" customHeight="1" x14ac:dyDescent="0.25">
      <c r="M5" s="28"/>
      <c r="N5" s="30"/>
    </row>
    <row r="6" spans="2:26" ht="15.95" customHeight="1" x14ac:dyDescent="0.25">
      <c r="B6" s="91"/>
      <c r="C6" s="34" t="s">
        <v>55</v>
      </c>
      <c r="D6" s="34">
        <f>COUNTA(Tabla1[Numero])</f>
        <v>51</v>
      </c>
      <c r="E6" s="35">
        <v>1</v>
      </c>
      <c r="G6" s="278" t="s">
        <v>144</v>
      </c>
      <c r="H6" s="278"/>
      <c r="I6" s="265">
        <f>SUMIFS(Tabla1[Carga Horaria], Tabla1[Electiva],"=SI",Tabla1[Icono],"=2")</f>
        <v>0</v>
      </c>
      <c r="J6" s="265"/>
      <c r="M6" s="28" t="s">
        <v>79</v>
      </c>
      <c r="N6" s="30">
        <v>0</v>
      </c>
    </row>
    <row r="7" spans="2:26" s="91" customFormat="1" ht="15" customHeight="1" thickBot="1" x14ac:dyDescent="0.3">
      <c r="B7" s="93">
        <v>0</v>
      </c>
      <c r="C7" s="94" t="s">
        <v>61</v>
      </c>
      <c r="D7" s="94">
        <f>D6-(D8+D9)</f>
        <v>51</v>
      </c>
      <c r="E7" s="95">
        <f>D7/$D$6</f>
        <v>1</v>
      </c>
      <c r="M7" s="28" t="s">
        <v>78</v>
      </c>
      <c r="N7" s="30">
        <v>0</v>
      </c>
      <c r="Z7" s="98"/>
    </row>
    <row r="8" spans="2:26" s="91" customFormat="1" ht="15" customHeight="1" thickBot="1" x14ac:dyDescent="0.3">
      <c r="B8" s="93">
        <v>1</v>
      </c>
      <c r="C8" s="94" t="s">
        <v>13</v>
      </c>
      <c r="D8" s="94">
        <f>COUNTIF(Tabla1[Icono],1)</f>
        <v>0</v>
      </c>
      <c r="E8" s="95">
        <f>D8/$D$6</f>
        <v>0</v>
      </c>
      <c r="G8" s="268"/>
      <c r="H8" s="269"/>
      <c r="I8" s="266"/>
      <c r="J8" s="267"/>
      <c r="M8" s="31" t="s">
        <v>60</v>
      </c>
      <c r="N8" s="30" t="b">
        <f>FALSE</f>
        <v>0</v>
      </c>
      <c r="Z8" s="98"/>
    </row>
    <row r="9" spans="2:26" s="91" customFormat="1" ht="15" customHeight="1" thickBot="1" x14ac:dyDescent="0.3">
      <c r="B9" s="93">
        <v>2</v>
      </c>
      <c r="C9" s="94" t="s">
        <v>12</v>
      </c>
      <c r="D9" s="94">
        <f>COUNTIF(Tabla1[Icono],2)</f>
        <v>0</v>
      </c>
      <c r="E9" s="95">
        <f>D9/$D$6</f>
        <v>0</v>
      </c>
      <c r="G9" s="276"/>
      <c r="H9" s="277"/>
      <c r="I9" s="263"/>
      <c r="J9" s="264"/>
      <c r="Z9" s="98"/>
    </row>
    <row r="10" spans="2:26" x14ac:dyDescent="0.25">
      <c r="X10" s="16"/>
      <c r="Y10" s="16"/>
      <c r="Z10"/>
    </row>
    <row r="11" spans="2:26" ht="6.95" customHeight="1" x14ac:dyDescent="0.25"/>
    <row r="12" spans="2:26" ht="14.1" customHeight="1" x14ac:dyDescent="0.25">
      <c r="B12" s="281" t="s">
        <v>135</v>
      </c>
      <c r="C12" s="281"/>
      <c r="D12" s="281"/>
      <c r="E12" s="281"/>
      <c r="G12" s="285" t="s">
        <v>53</v>
      </c>
      <c r="H12" s="285"/>
      <c r="I12" s="285"/>
      <c r="J12" s="285"/>
    </row>
    <row r="13" spans="2:26" ht="14.1" customHeight="1" x14ac:dyDescent="0.25">
      <c r="B13" s="281"/>
      <c r="C13" s="281"/>
      <c r="D13" s="281"/>
      <c r="E13" s="281"/>
      <c r="G13" s="285"/>
      <c r="H13" s="285"/>
      <c r="I13" s="285"/>
      <c r="J13" s="285"/>
    </row>
    <row r="14" spans="2:26" ht="14.1" customHeight="1" x14ac:dyDescent="0.25">
      <c r="B14" s="281"/>
      <c r="C14" s="281"/>
      <c r="D14" s="281"/>
      <c r="E14" s="281"/>
      <c r="G14" s="285"/>
      <c r="H14" s="285"/>
      <c r="I14" s="285"/>
      <c r="J14" s="285"/>
    </row>
    <row r="15" spans="2:26" ht="6.95" customHeight="1" x14ac:dyDescent="0.25">
      <c r="B15" s="8"/>
      <c r="C15" s="8"/>
      <c r="D15" s="8"/>
      <c r="E15" s="8"/>
    </row>
    <row r="16" spans="2:26" ht="12" customHeight="1" x14ac:dyDescent="0.25">
      <c r="D16" s="283">
        <f>COUNTIF('Plan de Estudio'!$F$12:$F$38,"&lt;&gt;2")</f>
        <v>27</v>
      </c>
      <c r="E16" s="283"/>
      <c r="I16" s="282">
        <f>COUNTIFS(Tabla1[Electiva],"NO",Tabla1[Icono],"&lt;&gt;2")</f>
        <v>41</v>
      </c>
      <c r="J16" s="282"/>
    </row>
    <row r="17" spans="2:26" ht="12" customHeight="1" x14ac:dyDescent="0.25">
      <c r="D17" s="283"/>
      <c r="E17" s="283"/>
      <c r="I17" s="282"/>
      <c r="J17" s="282"/>
      <c r="M17" s="61"/>
    </row>
    <row r="18" spans="2:26" ht="6.95" customHeight="1" x14ac:dyDescent="0.25">
      <c r="M18" s="61"/>
    </row>
    <row r="19" spans="2:26" s="33" customFormat="1" ht="15.95" customHeight="1" x14ac:dyDescent="0.25">
      <c r="C19" s="34" t="s">
        <v>55</v>
      </c>
      <c r="D19" s="34">
        <f>COUNTA('Plan de Estudio'!$B$12:$B$38)</f>
        <v>27</v>
      </c>
      <c r="E19" s="35">
        <v>1</v>
      </c>
      <c r="H19" s="34" t="s">
        <v>55</v>
      </c>
      <c r="I19" s="36">
        <f>COUNTIF(Tabla1[Electiva],"NO")</f>
        <v>41</v>
      </c>
      <c r="J19" s="35">
        <v>1</v>
      </c>
      <c r="M19" s="61"/>
    </row>
    <row r="20" spans="2:26" s="91" customFormat="1" ht="15" customHeight="1" x14ac:dyDescent="0.25">
      <c r="B20" s="93">
        <v>0</v>
      </c>
      <c r="C20" s="94" t="s">
        <v>61</v>
      </c>
      <c r="D20" s="94">
        <f>D19-(D22+D21)</f>
        <v>27</v>
      </c>
      <c r="E20" s="95">
        <f>D20/D19</f>
        <v>1</v>
      </c>
      <c r="G20" s="89">
        <v>0</v>
      </c>
      <c r="H20" s="94" t="s">
        <v>61</v>
      </c>
      <c r="I20" s="32">
        <f>I19-(I21+I22)</f>
        <v>41</v>
      </c>
      <c r="J20" s="95">
        <f>I20/$I$19</f>
        <v>1</v>
      </c>
      <c r="M20" s="114"/>
      <c r="Z20" s="98"/>
    </row>
    <row r="21" spans="2:26" s="91" customFormat="1" ht="15" customHeight="1" x14ac:dyDescent="0.25">
      <c r="B21" s="93">
        <v>1</v>
      </c>
      <c r="C21" s="94" t="s">
        <v>13</v>
      </c>
      <c r="D21" s="94">
        <f>COUNTIF('Plan de Estudio'!$F$12:$F$38,1)</f>
        <v>0</v>
      </c>
      <c r="E21" s="95">
        <f>D21/$D$19</f>
        <v>0</v>
      </c>
      <c r="G21" s="89">
        <v>1</v>
      </c>
      <c r="H21" s="94" t="s">
        <v>13</v>
      </c>
      <c r="I21" s="32">
        <f>COUNTIFS(Tabla1[Electiva],"NO",Tabla1[Icono],1)</f>
        <v>0</v>
      </c>
      <c r="J21" s="95">
        <f>I21/$I$19</f>
        <v>0</v>
      </c>
      <c r="M21" s="114"/>
      <c r="Z21" s="98"/>
    </row>
    <row r="22" spans="2:26" s="91" customFormat="1" ht="15" customHeight="1" x14ac:dyDescent="0.25">
      <c r="B22" s="93">
        <v>2</v>
      </c>
      <c r="C22" s="94" t="s">
        <v>12</v>
      </c>
      <c r="D22" s="94">
        <f>COUNTIF('Plan de Estudio'!$F$12:$F$38,2)</f>
        <v>0</v>
      </c>
      <c r="E22" s="95">
        <f>D22/$D$19</f>
        <v>0</v>
      </c>
      <c r="G22" s="89">
        <v>2</v>
      </c>
      <c r="H22" s="94" t="s">
        <v>12</v>
      </c>
      <c r="I22" s="32">
        <f>COUNTIFS(Tabla1[Electiva],"NO",Tabla1[Icono],2)</f>
        <v>0</v>
      </c>
      <c r="J22" s="95">
        <f>I22/$I$19</f>
        <v>0</v>
      </c>
      <c r="M22" s="114"/>
      <c r="Z22" s="98"/>
    </row>
    <row r="23" spans="2:26" ht="6.95" customHeight="1" thickBot="1" x14ac:dyDescent="0.3">
      <c r="M23" s="61"/>
    </row>
    <row r="24" spans="2:26" ht="14.1" customHeight="1" x14ac:dyDescent="0.25">
      <c r="B24" s="286" t="s">
        <v>54</v>
      </c>
      <c r="C24" s="286"/>
      <c r="D24" s="286"/>
      <c r="E24" s="286"/>
      <c r="G24" s="287" t="s">
        <v>38</v>
      </c>
      <c r="H24" s="288"/>
      <c r="I24" s="270">
        <f>IF(ISNUMBER(AVERAGE(Tabla1[Nota])), AVERAGE(Tabla1[Nota]), 0)</f>
        <v>0</v>
      </c>
      <c r="J24" s="271"/>
      <c r="M24" s="61"/>
    </row>
    <row r="25" spans="2:26" ht="14.1" customHeight="1" x14ac:dyDescent="0.25">
      <c r="B25" s="286"/>
      <c r="C25" s="286"/>
      <c r="D25" s="286"/>
      <c r="E25" s="286"/>
      <c r="G25" s="289"/>
      <c r="H25" s="290"/>
      <c r="I25" s="272"/>
      <c r="J25" s="273"/>
      <c r="M25" s="61"/>
    </row>
    <row r="26" spans="2:26" ht="14.1" customHeight="1" thickBot="1" x14ac:dyDescent="0.3">
      <c r="B26" s="286"/>
      <c r="C26" s="286"/>
      <c r="D26" s="286"/>
      <c r="E26" s="286"/>
      <c r="G26" s="291"/>
      <c r="H26" s="292"/>
      <c r="I26" s="274"/>
      <c r="J26" s="275"/>
      <c r="M26" s="61"/>
    </row>
    <row r="27" spans="2:26" ht="6.95" customHeight="1" x14ac:dyDescent="0.25">
      <c r="M27" s="61"/>
    </row>
    <row r="28" spans="2:26" ht="12" customHeight="1" x14ac:dyDescent="0.25">
      <c r="D28" s="284">
        <f>COUNTIF(Tabla1[Cursar],"SI")</f>
        <v>9</v>
      </c>
      <c r="E28" s="284"/>
      <c r="M28" s="61"/>
    </row>
    <row r="29" spans="2:26" ht="12" customHeight="1" x14ac:dyDescent="0.35">
      <c r="D29" s="284"/>
      <c r="E29" s="284"/>
      <c r="F29" s="12"/>
      <c r="M29" s="61"/>
    </row>
    <row r="30" spans="2:26" ht="15" customHeight="1" thickBot="1" x14ac:dyDescent="0.3">
      <c r="F30" s="9"/>
      <c r="M30" s="61"/>
      <c r="Z30"/>
    </row>
    <row r="31" spans="2:26" ht="19.5" thickBot="1" x14ac:dyDescent="0.3">
      <c r="B31" s="279" t="s">
        <v>6</v>
      </c>
      <c r="C31" s="280"/>
      <c r="D31" s="7"/>
      <c r="E31" s="7"/>
      <c r="F31" s="7"/>
      <c r="G31" s="7"/>
      <c r="H31" s="62"/>
      <c r="M31" s="61"/>
      <c r="Z31"/>
    </row>
    <row r="32" spans="2:26" ht="15.75" x14ac:dyDescent="0.25">
      <c r="B32" s="2"/>
      <c r="C32" s="19"/>
      <c r="D32" s="19"/>
      <c r="E32" s="37" t="s">
        <v>5</v>
      </c>
      <c r="F32" s="19" t="s">
        <v>9</v>
      </c>
      <c r="G32" s="19"/>
      <c r="H32" s="3"/>
      <c r="M32" s="61"/>
      <c r="Z32"/>
    </row>
    <row r="33" spans="2:26" ht="15.75" x14ac:dyDescent="0.25">
      <c r="B33" s="40">
        <v>0</v>
      </c>
      <c r="C33" s="39" t="s">
        <v>89</v>
      </c>
      <c r="D33" s="19"/>
      <c r="E33" s="37" t="s">
        <v>15</v>
      </c>
      <c r="F33" s="19" t="s">
        <v>10</v>
      </c>
      <c r="G33" s="19"/>
      <c r="H33" s="3"/>
      <c r="I33" s="19"/>
      <c r="M33" s="61"/>
      <c r="Z33"/>
    </row>
    <row r="34" spans="2:26" ht="15.75" x14ac:dyDescent="0.25">
      <c r="B34" s="40">
        <v>1</v>
      </c>
      <c r="C34" s="39" t="s">
        <v>3</v>
      </c>
      <c r="D34" s="19"/>
      <c r="E34" s="37" t="s">
        <v>16</v>
      </c>
      <c r="F34" s="19" t="s">
        <v>11</v>
      </c>
      <c r="G34" s="19"/>
      <c r="H34" s="3"/>
      <c r="I34" s="19"/>
      <c r="M34" s="61"/>
      <c r="Z34"/>
    </row>
    <row r="35" spans="2:26" ht="15.75" x14ac:dyDescent="0.25">
      <c r="B35" s="40">
        <v>2</v>
      </c>
      <c r="C35" s="39" t="s">
        <v>14</v>
      </c>
      <c r="D35" s="19"/>
      <c r="E35" s="37" t="s">
        <v>7</v>
      </c>
      <c r="F35" s="19" t="s">
        <v>8</v>
      </c>
      <c r="G35" s="19"/>
      <c r="H35" s="3"/>
      <c r="I35" s="19"/>
      <c r="M35" s="61"/>
      <c r="X35" s="16"/>
      <c r="Y35" s="16"/>
      <c r="Z35"/>
    </row>
    <row r="36" spans="2:26" ht="15.75" thickBot="1" x14ac:dyDescent="0.3">
      <c r="B36" s="38"/>
      <c r="C36" s="4"/>
      <c r="D36" s="4"/>
      <c r="E36" s="4"/>
      <c r="F36" s="4"/>
      <c r="G36" s="4"/>
      <c r="H36" s="5"/>
      <c r="I36" s="19"/>
      <c r="M36" s="61"/>
      <c r="X36" s="16"/>
      <c r="Y36" s="16"/>
      <c r="Z36"/>
    </row>
    <row r="37" spans="2:26" ht="6.95" customHeight="1" x14ac:dyDescent="0.25">
      <c r="I37" s="19"/>
      <c r="M37" s="61"/>
      <c r="X37" s="16"/>
      <c r="Y37" s="16"/>
      <c r="Z37"/>
    </row>
    <row r="38" spans="2:26" ht="15" customHeight="1" x14ac:dyDescent="0.25">
      <c r="I38" s="19"/>
      <c r="M38" s="61"/>
      <c r="X38" s="16"/>
      <c r="Y38" s="16"/>
      <c r="Z38"/>
    </row>
    <row r="39" spans="2:26" ht="15" customHeight="1" x14ac:dyDescent="0.25">
      <c r="B39" s="19"/>
      <c r="C39" s="19"/>
      <c r="D39" s="19"/>
      <c r="E39" s="19"/>
      <c r="F39" s="19"/>
      <c r="G39" s="19"/>
      <c r="H39" s="19"/>
      <c r="I39" s="19"/>
      <c r="M39" s="61"/>
      <c r="X39" s="16"/>
      <c r="Y39" s="16"/>
      <c r="Z39"/>
    </row>
    <row r="40" spans="2:26" ht="15" customHeight="1" x14ac:dyDescent="0.25">
      <c r="B40" s="19"/>
      <c r="C40" s="19"/>
      <c r="D40" s="19"/>
      <c r="E40" s="19"/>
      <c r="F40" s="19"/>
      <c r="G40" s="19"/>
      <c r="H40" s="19"/>
      <c r="I40" s="19"/>
      <c r="M40" s="61"/>
      <c r="X40" s="16"/>
      <c r="Y40" s="16"/>
      <c r="Z40"/>
    </row>
    <row r="41" spans="2:26" ht="15" customHeight="1" x14ac:dyDescent="0.25">
      <c r="E41" s="10"/>
      <c r="M41" s="61"/>
      <c r="X41" s="16"/>
      <c r="Y41" s="16"/>
      <c r="Z41"/>
    </row>
    <row r="42" spans="2:26" x14ac:dyDescent="0.25">
      <c r="M42" s="61"/>
      <c r="X42" s="16"/>
      <c r="Y42" s="16"/>
      <c r="Z42"/>
    </row>
    <row r="43" spans="2:26" x14ac:dyDescent="0.25">
      <c r="M43" s="61"/>
      <c r="X43" s="16"/>
      <c r="Y43" s="16"/>
      <c r="Z43"/>
    </row>
    <row r="44" spans="2:26" x14ac:dyDescent="0.25">
      <c r="M44" s="61"/>
      <c r="X44" s="16"/>
      <c r="Y44" s="16"/>
      <c r="Z44"/>
    </row>
    <row r="45" spans="2:26" x14ac:dyDescent="0.25">
      <c r="M45" s="61"/>
      <c r="X45" s="16"/>
      <c r="Y45" s="16"/>
      <c r="Z45"/>
    </row>
    <row r="46" spans="2:26" x14ac:dyDescent="0.25">
      <c r="M46" s="61"/>
      <c r="X46" s="16"/>
      <c r="Y46" s="16"/>
      <c r="Z46"/>
    </row>
    <row r="47" spans="2:26" x14ac:dyDescent="0.25">
      <c r="M47" s="61"/>
      <c r="X47" s="16"/>
      <c r="Y47" s="16"/>
      <c r="Z47"/>
    </row>
    <row r="48" spans="2:26" x14ac:dyDescent="0.25">
      <c r="M48" s="61"/>
      <c r="X48" s="16"/>
      <c r="Y48" s="16"/>
      <c r="Z48"/>
    </row>
    <row r="49" spans="2:26" x14ac:dyDescent="0.25">
      <c r="B49" t="s">
        <v>26</v>
      </c>
      <c r="M49" s="61"/>
      <c r="X49" s="16"/>
      <c r="Y49" s="16"/>
      <c r="Z49"/>
    </row>
    <row r="50" spans="2:26" x14ac:dyDescent="0.25">
      <c r="M50" s="61"/>
      <c r="X50" s="16"/>
      <c r="Y50" s="16"/>
      <c r="Z50"/>
    </row>
    <row r="51" spans="2:26" x14ac:dyDescent="0.25">
      <c r="M51" s="61"/>
      <c r="X51" s="16"/>
      <c r="Y51" s="16"/>
      <c r="Z51"/>
    </row>
    <row r="52" spans="2:26" x14ac:dyDescent="0.25">
      <c r="M52" s="61"/>
      <c r="X52" s="16"/>
      <c r="Y52" s="16"/>
      <c r="Z52"/>
    </row>
    <row r="53" spans="2:26" x14ac:dyDescent="0.25">
      <c r="M53" s="61"/>
      <c r="X53" s="16"/>
      <c r="Y53" s="16"/>
      <c r="Z53"/>
    </row>
    <row r="54" spans="2:26" x14ac:dyDescent="0.25">
      <c r="B54" s="10"/>
      <c r="C54" t="s">
        <v>20</v>
      </c>
      <c r="E54" s="6" t="s">
        <v>58</v>
      </c>
      <c r="G54" s="53" t="s">
        <v>84</v>
      </c>
      <c r="M54" s="61"/>
      <c r="X54" s="16"/>
      <c r="Y54" s="16"/>
      <c r="Z54"/>
    </row>
    <row r="55" spans="2:26" ht="15.75" x14ac:dyDescent="0.25">
      <c r="C55" s="1" t="s">
        <v>5</v>
      </c>
      <c r="E55" s="49" t="s">
        <v>73</v>
      </c>
      <c r="G55" s="53" t="s">
        <v>85</v>
      </c>
      <c r="M55" s="61"/>
      <c r="X55" s="16"/>
      <c r="Y55" s="16"/>
      <c r="Z55"/>
    </row>
    <row r="56" spans="2:26" ht="15.75" x14ac:dyDescent="0.25">
      <c r="C56" s="1" t="s">
        <v>15</v>
      </c>
      <c r="E56" s="49" t="s">
        <v>74</v>
      </c>
      <c r="G56" s="53" t="s">
        <v>86</v>
      </c>
      <c r="M56" s="61"/>
      <c r="X56" s="16"/>
      <c r="Y56" s="16"/>
      <c r="Z56"/>
    </row>
    <row r="57" spans="2:26" ht="15.75" x14ac:dyDescent="0.25">
      <c r="C57" s="1" t="s">
        <v>16</v>
      </c>
      <c r="E57" s="49" t="s">
        <v>75</v>
      </c>
      <c r="M57" s="61"/>
      <c r="X57" s="16"/>
      <c r="Y57" s="16"/>
      <c r="Z57"/>
    </row>
    <row r="58" spans="2:26" ht="15.75" x14ac:dyDescent="0.25">
      <c r="C58" s="1" t="s">
        <v>7</v>
      </c>
      <c r="E58" s="49" t="s">
        <v>76</v>
      </c>
      <c r="M58" s="61"/>
      <c r="X58" s="16"/>
      <c r="Y58" s="16"/>
      <c r="Z58"/>
    </row>
    <row r="59" spans="2:26" ht="15.75" x14ac:dyDescent="0.25">
      <c r="C59" s="1" t="s">
        <v>18</v>
      </c>
      <c r="E59" s="49" t="s">
        <v>77</v>
      </c>
      <c r="M59" s="61"/>
      <c r="X59" s="16"/>
      <c r="Y59" s="16"/>
      <c r="Z59"/>
    </row>
    <row r="60" spans="2:26" ht="15.75" x14ac:dyDescent="0.25">
      <c r="C60" s="1" t="s">
        <v>17</v>
      </c>
      <c r="F60" s="15"/>
      <c r="G60" s="15"/>
      <c r="M60" s="61"/>
      <c r="X60" s="16"/>
      <c r="Y60" s="16"/>
      <c r="Z60"/>
    </row>
    <row r="61" spans="2:26" ht="15.75" x14ac:dyDescent="0.25">
      <c r="C61" s="1" t="s">
        <v>19</v>
      </c>
      <c r="F61" s="15"/>
      <c r="M61" s="61"/>
      <c r="X61" s="16"/>
      <c r="Y61" s="16"/>
      <c r="Z61"/>
    </row>
    <row r="62" spans="2:26" x14ac:dyDescent="0.25">
      <c r="F62" s="15"/>
      <c r="M62" s="61"/>
      <c r="X62" s="16"/>
      <c r="Y62" s="16"/>
      <c r="Z62"/>
    </row>
    <row r="63" spans="2:26" x14ac:dyDescent="0.25">
      <c r="M63" s="61"/>
      <c r="X63" s="16"/>
      <c r="Y63" s="16"/>
      <c r="Z63"/>
    </row>
    <row r="64" spans="2:26" x14ac:dyDescent="0.25">
      <c r="M64" s="61"/>
      <c r="X64" s="16"/>
      <c r="Y64" s="16"/>
      <c r="Z64"/>
    </row>
    <row r="65" spans="13:39" x14ac:dyDescent="0.25">
      <c r="M65" s="61"/>
      <c r="X65" s="16"/>
      <c r="Y65" s="16"/>
      <c r="Z65"/>
    </row>
    <row r="66" spans="13:39" x14ac:dyDescent="0.25">
      <c r="M66" s="61"/>
      <c r="X66" s="16"/>
      <c r="Y66" s="16"/>
      <c r="Z66"/>
    </row>
    <row r="67" spans="13:39" x14ac:dyDescent="0.25">
      <c r="M67" s="61"/>
      <c r="X67" s="16"/>
      <c r="Y67" s="16"/>
      <c r="Z67"/>
    </row>
    <row r="68" spans="13:39" x14ac:dyDescent="0.25">
      <c r="M68" s="61"/>
      <c r="X68" s="16"/>
      <c r="Y68" s="16"/>
      <c r="Z68"/>
    </row>
    <row r="69" spans="13:39" x14ac:dyDescent="0.25">
      <c r="M69" s="61"/>
      <c r="X69" s="16"/>
      <c r="Y69" s="16"/>
      <c r="Z69"/>
    </row>
    <row r="70" spans="13:39" x14ac:dyDescent="0.25">
      <c r="M70" s="61"/>
      <c r="X70" s="16"/>
      <c r="Y70" s="16"/>
      <c r="Z70"/>
    </row>
    <row r="71" spans="13:39" x14ac:dyDescent="0.25">
      <c r="M71" s="61"/>
      <c r="X71" s="16"/>
      <c r="Y71" s="16"/>
      <c r="Z71"/>
    </row>
    <row r="72" spans="13:39" x14ac:dyDescent="0.25">
      <c r="M72" s="61"/>
      <c r="X72" s="16"/>
      <c r="Y72" s="16"/>
      <c r="Z72"/>
    </row>
    <row r="73" spans="13:39" x14ac:dyDescent="0.25">
      <c r="M73" s="61"/>
      <c r="X73" s="16"/>
      <c r="Y73" s="16"/>
      <c r="Z73"/>
    </row>
    <row r="74" spans="13:39" x14ac:dyDescent="0.25">
      <c r="M74" s="61"/>
      <c r="X74" s="16"/>
      <c r="Y74" s="16"/>
      <c r="Z74"/>
    </row>
    <row r="75" spans="13:39" x14ac:dyDescent="0.25">
      <c r="M75" t="s">
        <v>87</v>
      </c>
      <c r="AA75" t="s">
        <v>88</v>
      </c>
      <c r="AC75" s="16"/>
    </row>
    <row r="76" spans="13:39" x14ac:dyDescent="0.25">
      <c r="M76" s="60" t="s">
        <v>59</v>
      </c>
      <c r="N76" s="60" t="s">
        <v>51</v>
      </c>
      <c r="O76" s="60" t="s">
        <v>45</v>
      </c>
      <c r="P76" s="60" t="s">
        <v>46</v>
      </c>
      <c r="Q76" s="60" t="s">
        <v>47</v>
      </c>
      <c r="R76" s="60" t="s">
        <v>104</v>
      </c>
      <c r="S76" s="60" t="s">
        <v>105</v>
      </c>
      <c r="T76" s="60" t="s">
        <v>52</v>
      </c>
      <c r="U76" s="60" t="s">
        <v>48</v>
      </c>
      <c r="V76" s="60" t="s">
        <v>49</v>
      </c>
      <c r="W76" s="60" t="s">
        <v>50</v>
      </c>
      <c r="X76" s="60" t="s">
        <v>106</v>
      </c>
      <c r="Y76" s="60" t="s">
        <v>145</v>
      </c>
      <c r="AA76" s="60" t="s">
        <v>59</v>
      </c>
      <c r="AB76" s="60" t="s">
        <v>51</v>
      </c>
      <c r="AC76" s="60" t="s">
        <v>45</v>
      </c>
      <c r="AD76" s="60" t="s">
        <v>46</v>
      </c>
      <c r="AE76" s="60" t="s">
        <v>47</v>
      </c>
      <c r="AF76" s="60" t="s">
        <v>104</v>
      </c>
      <c r="AG76" s="60" t="s">
        <v>105</v>
      </c>
      <c r="AH76" s="60" t="s">
        <v>52</v>
      </c>
      <c r="AI76" s="60" t="s">
        <v>48</v>
      </c>
      <c r="AJ76" s="60" t="s">
        <v>49</v>
      </c>
      <c r="AK76" s="60" t="s">
        <v>50</v>
      </c>
      <c r="AL76" s="60" t="s">
        <v>106</v>
      </c>
      <c r="AM76" s="60" t="s">
        <v>145</v>
      </c>
    </row>
    <row r="77" spans="13:39" ht="16.5" customHeight="1" x14ac:dyDescent="0.25">
      <c r="M77" s="59">
        <v>9</v>
      </c>
      <c r="N77" s="59">
        <v>1</v>
      </c>
      <c r="O77" s="59">
        <v>4</v>
      </c>
      <c r="P77" s="59">
        <v>6</v>
      </c>
      <c r="Q77" s="59" t="s">
        <v>21</v>
      </c>
      <c r="R77" s="59" t="s">
        <v>21</v>
      </c>
      <c r="S77" s="59" t="s">
        <v>21</v>
      </c>
      <c r="T77" s="59" t="s">
        <v>21</v>
      </c>
      <c r="U77" s="59" t="s">
        <v>21</v>
      </c>
      <c r="V77" s="59" t="s">
        <v>21</v>
      </c>
      <c r="W77" s="59" t="s">
        <v>21</v>
      </c>
      <c r="X77" s="59" t="s">
        <v>21</v>
      </c>
      <c r="Y77" s="59" t="s">
        <v>21</v>
      </c>
      <c r="AA77" s="59">
        <v>9</v>
      </c>
      <c r="AB77" s="6">
        <v>1</v>
      </c>
      <c r="AC77" s="6">
        <v>6</v>
      </c>
      <c r="AD77" s="6" t="s">
        <v>21</v>
      </c>
      <c r="AE77" s="6" t="s">
        <v>21</v>
      </c>
      <c r="AF77" s="6" t="s">
        <v>21</v>
      </c>
      <c r="AG77" s="6" t="s">
        <v>21</v>
      </c>
      <c r="AH77" s="6" t="s">
        <v>21</v>
      </c>
      <c r="AI77" s="6" t="s">
        <v>21</v>
      </c>
      <c r="AJ77" s="6" t="s">
        <v>21</v>
      </c>
      <c r="AK77" s="6" t="s">
        <v>21</v>
      </c>
      <c r="AL77" s="6" t="s">
        <v>21</v>
      </c>
      <c r="AM77" s="6" t="s">
        <v>21</v>
      </c>
    </row>
    <row r="78" spans="13:39" ht="16.5" customHeight="1" x14ac:dyDescent="0.25">
      <c r="M78" s="59">
        <v>15</v>
      </c>
      <c r="N78" s="59">
        <v>9</v>
      </c>
      <c r="O78" s="59" t="s">
        <v>21</v>
      </c>
      <c r="P78" s="59" t="s">
        <v>21</v>
      </c>
      <c r="Q78" s="59" t="s">
        <v>21</v>
      </c>
      <c r="R78" s="59" t="s">
        <v>21</v>
      </c>
      <c r="S78" s="59" t="s">
        <v>21</v>
      </c>
      <c r="T78" s="59">
        <v>2</v>
      </c>
      <c r="U78" s="59" t="s">
        <v>21</v>
      </c>
      <c r="V78" s="59" t="s">
        <v>21</v>
      </c>
      <c r="W78" s="59" t="s">
        <v>21</v>
      </c>
      <c r="X78" s="59" t="s">
        <v>21</v>
      </c>
      <c r="Y78" s="59" t="s">
        <v>21</v>
      </c>
      <c r="AA78" s="59">
        <v>15</v>
      </c>
      <c r="AB78" s="6">
        <v>1</v>
      </c>
      <c r="AC78" s="6">
        <v>2</v>
      </c>
      <c r="AD78" s="6" t="s">
        <v>21</v>
      </c>
      <c r="AE78" s="6" t="s">
        <v>21</v>
      </c>
      <c r="AF78" s="6" t="s">
        <v>21</v>
      </c>
      <c r="AG78" s="6" t="s">
        <v>21</v>
      </c>
      <c r="AH78" s="6">
        <v>2</v>
      </c>
      <c r="AI78" s="6" t="s">
        <v>21</v>
      </c>
      <c r="AJ78" s="6" t="s">
        <v>21</v>
      </c>
      <c r="AK78" s="6" t="s">
        <v>21</v>
      </c>
      <c r="AL78" s="6" t="s">
        <v>21</v>
      </c>
      <c r="AM78" s="6" t="s">
        <v>21</v>
      </c>
    </row>
    <row r="79" spans="13:39" ht="16.5" customHeight="1" x14ac:dyDescent="0.25">
      <c r="M79" s="59">
        <v>17</v>
      </c>
      <c r="N79" s="59">
        <v>9</v>
      </c>
      <c r="O79" s="59">
        <v>12</v>
      </c>
      <c r="P79" s="59">
        <v>13</v>
      </c>
      <c r="Q79" s="59" t="s">
        <v>21</v>
      </c>
      <c r="R79" s="59" t="s">
        <v>21</v>
      </c>
      <c r="S79" s="59" t="s">
        <v>21</v>
      </c>
      <c r="T79" s="59">
        <v>1</v>
      </c>
      <c r="U79" s="59">
        <v>4</v>
      </c>
      <c r="V79" s="59">
        <v>5</v>
      </c>
      <c r="W79" s="59">
        <v>6</v>
      </c>
      <c r="X79" s="59">
        <v>8</v>
      </c>
      <c r="Y79" s="59" t="s">
        <v>21</v>
      </c>
      <c r="AA79" s="59">
        <v>17</v>
      </c>
      <c r="AB79" s="6">
        <v>6</v>
      </c>
      <c r="AC79" s="6">
        <v>7</v>
      </c>
      <c r="AD79" s="6">
        <v>8</v>
      </c>
      <c r="AE79" s="6">
        <v>9</v>
      </c>
      <c r="AF79" s="6">
        <v>13</v>
      </c>
      <c r="AG79" s="6" t="s">
        <v>21</v>
      </c>
      <c r="AH79" s="6">
        <v>1</v>
      </c>
      <c r="AI79" s="6">
        <v>3</v>
      </c>
      <c r="AJ79" s="6">
        <v>4</v>
      </c>
      <c r="AK79" s="6" t="s">
        <v>21</v>
      </c>
      <c r="AL79" s="6" t="s">
        <v>21</v>
      </c>
      <c r="AM79" s="6" t="s">
        <v>21</v>
      </c>
    </row>
    <row r="80" spans="13:39" ht="16.5" customHeight="1" x14ac:dyDescent="0.25">
      <c r="M80" s="59">
        <v>18</v>
      </c>
      <c r="N80" s="59">
        <v>12</v>
      </c>
      <c r="O80" s="59">
        <v>13</v>
      </c>
      <c r="P80" s="59" t="s">
        <v>21</v>
      </c>
      <c r="Q80" s="59" t="s">
        <v>21</v>
      </c>
      <c r="R80" s="59" t="s">
        <v>21</v>
      </c>
      <c r="S80" s="59" t="s">
        <v>21</v>
      </c>
      <c r="T80" s="59">
        <v>3</v>
      </c>
      <c r="U80" s="59">
        <v>4</v>
      </c>
      <c r="V80" s="59">
        <v>5</v>
      </c>
      <c r="W80" s="59">
        <v>6</v>
      </c>
      <c r="X80" s="59" t="s">
        <v>21</v>
      </c>
      <c r="Y80" s="59" t="s">
        <v>21</v>
      </c>
      <c r="AA80" s="59">
        <v>18</v>
      </c>
      <c r="AB80" s="6">
        <v>11</v>
      </c>
      <c r="AC80" s="6">
        <v>12</v>
      </c>
      <c r="AD80" s="6">
        <v>13</v>
      </c>
      <c r="AE80" s="6" t="s">
        <v>21</v>
      </c>
      <c r="AF80" s="6" t="s">
        <v>21</v>
      </c>
      <c r="AG80" s="6" t="s">
        <v>21</v>
      </c>
      <c r="AH80" s="6">
        <v>4</v>
      </c>
      <c r="AI80" s="6">
        <v>6</v>
      </c>
      <c r="AJ80" s="6" t="s">
        <v>21</v>
      </c>
      <c r="AK80" s="6" t="s">
        <v>21</v>
      </c>
      <c r="AL80" s="6" t="s">
        <v>21</v>
      </c>
      <c r="AM80" s="6" t="s">
        <v>21</v>
      </c>
    </row>
    <row r="81" spans="13:39" ht="16.5" customHeight="1" x14ac:dyDescent="0.25">
      <c r="M81" s="59">
        <v>21</v>
      </c>
      <c r="N81" s="59">
        <v>11</v>
      </c>
      <c r="O81" s="59">
        <v>12</v>
      </c>
      <c r="P81" s="59">
        <v>13</v>
      </c>
      <c r="Q81" s="59">
        <v>18</v>
      </c>
      <c r="R81" s="59" t="s">
        <v>21</v>
      </c>
      <c r="S81" s="59" t="s">
        <v>21</v>
      </c>
      <c r="T81" s="59">
        <v>3</v>
      </c>
      <c r="U81" s="59">
        <v>4</v>
      </c>
      <c r="V81" s="59">
        <v>5</v>
      </c>
      <c r="W81" s="59">
        <v>6</v>
      </c>
      <c r="X81" s="59" t="s">
        <v>21</v>
      </c>
      <c r="Y81" s="59" t="s">
        <v>21</v>
      </c>
      <c r="AA81" s="59">
        <v>21</v>
      </c>
      <c r="AB81" s="6">
        <v>9</v>
      </c>
      <c r="AC81" s="6">
        <v>12</v>
      </c>
      <c r="AD81" s="6">
        <v>13</v>
      </c>
      <c r="AE81" s="6" t="s">
        <v>21</v>
      </c>
      <c r="AF81" s="6" t="s">
        <v>21</v>
      </c>
      <c r="AG81" s="6" t="s">
        <v>21</v>
      </c>
      <c r="AH81" s="6">
        <v>3</v>
      </c>
      <c r="AI81" s="6">
        <v>4</v>
      </c>
      <c r="AJ81" s="6">
        <v>6</v>
      </c>
      <c r="AK81" s="6" t="s">
        <v>21</v>
      </c>
      <c r="AL81" s="6" t="s">
        <v>21</v>
      </c>
      <c r="AM81" s="6" t="s">
        <v>21</v>
      </c>
    </row>
    <row r="82" spans="13:39" ht="16.5" customHeight="1" x14ac:dyDescent="0.25">
      <c r="M82" s="59">
        <v>22</v>
      </c>
      <c r="N82" s="59">
        <v>12</v>
      </c>
      <c r="O82" s="59">
        <v>13</v>
      </c>
      <c r="P82" s="59">
        <v>18</v>
      </c>
      <c r="Q82" s="59" t="s">
        <v>21</v>
      </c>
      <c r="R82" s="59" t="s">
        <v>21</v>
      </c>
      <c r="S82" s="59" t="s">
        <v>21</v>
      </c>
      <c r="T82" s="59">
        <v>3</v>
      </c>
      <c r="U82" s="59">
        <v>4</v>
      </c>
      <c r="V82" s="59">
        <v>5</v>
      </c>
      <c r="W82" s="59">
        <v>6</v>
      </c>
      <c r="X82" s="59" t="s">
        <v>21</v>
      </c>
      <c r="Y82" s="59" t="s">
        <v>21</v>
      </c>
      <c r="AA82" s="59">
        <v>22</v>
      </c>
      <c r="AB82" s="6">
        <v>9</v>
      </c>
      <c r="AC82" s="6">
        <v>12</v>
      </c>
      <c r="AD82" s="6">
        <v>13</v>
      </c>
      <c r="AE82" s="6" t="s">
        <v>21</v>
      </c>
      <c r="AF82" s="6" t="s">
        <v>21</v>
      </c>
      <c r="AG82" s="6" t="s">
        <v>21</v>
      </c>
      <c r="AH82" s="6">
        <v>3</v>
      </c>
      <c r="AI82" s="6">
        <v>4</v>
      </c>
      <c r="AJ82" s="6">
        <v>6</v>
      </c>
      <c r="AK82" s="6" t="s">
        <v>21</v>
      </c>
      <c r="AL82" s="6" t="s">
        <v>21</v>
      </c>
      <c r="AM82" s="6" t="s">
        <v>21</v>
      </c>
    </row>
    <row r="83" spans="13:39" ht="16.5" customHeight="1" x14ac:dyDescent="0.25">
      <c r="M83" s="59">
        <v>23</v>
      </c>
      <c r="N83" s="59">
        <v>11</v>
      </c>
      <c r="O83" s="59">
        <v>13</v>
      </c>
      <c r="P83" s="59" t="s">
        <v>21</v>
      </c>
      <c r="Q83" s="59" t="s">
        <v>21</v>
      </c>
      <c r="R83" s="59" t="s">
        <v>21</v>
      </c>
      <c r="S83" s="59" t="s">
        <v>21</v>
      </c>
      <c r="T83" s="59">
        <v>4</v>
      </c>
      <c r="U83" s="59">
        <v>5</v>
      </c>
      <c r="V83" s="59">
        <v>6</v>
      </c>
      <c r="W83" s="59" t="s">
        <v>21</v>
      </c>
      <c r="X83" s="59" t="s">
        <v>21</v>
      </c>
      <c r="Y83" s="59" t="s">
        <v>21</v>
      </c>
      <c r="AA83" s="59">
        <v>23</v>
      </c>
      <c r="AB83" s="6">
        <v>10</v>
      </c>
      <c r="AC83" s="6">
        <v>11</v>
      </c>
      <c r="AD83" s="6">
        <v>14</v>
      </c>
      <c r="AE83" s="59" t="s">
        <v>21</v>
      </c>
      <c r="AF83" s="59" t="s">
        <v>21</v>
      </c>
      <c r="AG83" s="59" t="s">
        <v>21</v>
      </c>
      <c r="AH83" s="59">
        <v>2</v>
      </c>
      <c r="AI83" s="59">
        <v>6</v>
      </c>
      <c r="AJ83" s="59" t="s">
        <v>21</v>
      </c>
      <c r="AK83" s="59" t="s">
        <v>21</v>
      </c>
      <c r="AL83" s="59" t="s">
        <v>21</v>
      </c>
      <c r="AM83" s="6" t="s">
        <v>21</v>
      </c>
    </row>
    <row r="84" spans="13:39" ht="16.5" customHeight="1" x14ac:dyDescent="0.25">
      <c r="M84" s="59">
        <v>26</v>
      </c>
      <c r="N84" s="59" t="s">
        <v>21</v>
      </c>
      <c r="O84" s="59" t="s">
        <v>21</v>
      </c>
      <c r="P84" s="59" t="s">
        <v>21</v>
      </c>
      <c r="Q84" s="59" t="s">
        <v>21</v>
      </c>
      <c r="R84" s="59" t="s">
        <v>21</v>
      </c>
      <c r="S84" s="59" t="s">
        <v>21</v>
      </c>
      <c r="T84" s="59">
        <v>16</v>
      </c>
      <c r="U84" s="59" t="s">
        <v>21</v>
      </c>
      <c r="V84" s="59" t="s">
        <v>21</v>
      </c>
      <c r="W84" s="59" t="s">
        <v>21</v>
      </c>
      <c r="X84" s="59" t="s">
        <v>21</v>
      </c>
      <c r="Y84" s="59" t="s">
        <v>21</v>
      </c>
      <c r="AA84" s="59">
        <v>26</v>
      </c>
      <c r="AB84" s="6">
        <v>16</v>
      </c>
      <c r="AC84" s="59" t="s">
        <v>21</v>
      </c>
      <c r="AD84" s="59" t="s">
        <v>21</v>
      </c>
      <c r="AE84" s="59" t="s">
        <v>21</v>
      </c>
      <c r="AF84" s="59" t="s">
        <v>21</v>
      </c>
      <c r="AG84" s="59" t="s">
        <v>21</v>
      </c>
      <c r="AH84" s="59" t="s">
        <v>21</v>
      </c>
      <c r="AI84" s="59" t="s">
        <v>21</v>
      </c>
      <c r="AJ84" s="59" t="s">
        <v>21</v>
      </c>
      <c r="AK84" s="59" t="s">
        <v>21</v>
      </c>
      <c r="AL84" s="59" t="s">
        <v>21</v>
      </c>
      <c r="AM84" s="6" t="s">
        <v>21</v>
      </c>
    </row>
    <row r="85" spans="13:39" ht="16.5" customHeight="1" x14ac:dyDescent="0.25">
      <c r="M85" s="59">
        <v>27</v>
      </c>
      <c r="N85" s="59">
        <v>17</v>
      </c>
      <c r="O85" s="59">
        <v>22</v>
      </c>
      <c r="P85" s="59" t="s">
        <v>21</v>
      </c>
      <c r="Q85" s="59" t="s">
        <v>21</v>
      </c>
      <c r="R85" s="59" t="s">
        <v>21</v>
      </c>
      <c r="S85" s="59" t="s">
        <v>21</v>
      </c>
      <c r="T85" s="59">
        <v>7</v>
      </c>
      <c r="U85" s="59">
        <v>8</v>
      </c>
      <c r="V85" s="59">
        <v>9</v>
      </c>
      <c r="W85" s="59">
        <v>11</v>
      </c>
      <c r="X85" s="59">
        <v>12</v>
      </c>
      <c r="Y85" s="59">
        <v>13</v>
      </c>
      <c r="AA85" s="59">
        <v>27</v>
      </c>
      <c r="AB85" s="6">
        <v>17</v>
      </c>
      <c r="AC85" s="6">
        <v>19</v>
      </c>
      <c r="AD85" s="6" t="s">
        <v>21</v>
      </c>
      <c r="AE85" s="6" t="s">
        <v>21</v>
      </c>
      <c r="AF85" s="6" t="s">
        <v>21</v>
      </c>
      <c r="AG85" s="6" t="s">
        <v>21</v>
      </c>
      <c r="AH85" s="6">
        <v>7</v>
      </c>
      <c r="AI85" s="6">
        <v>8</v>
      </c>
      <c r="AJ85" s="6">
        <v>9</v>
      </c>
      <c r="AK85" s="6">
        <v>12</v>
      </c>
      <c r="AL85" s="6">
        <v>26</v>
      </c>
      <c r="AM85" s="6" t="s">
        <v>21</v>
      </c>
    </row>
    <row r="86" spans="13:39" ht="16.5" customHeight="1" x14ac:dyDescent="0.25">
      <c r="M86" s="59">
        <v>28</v>
      </c>
      <c r="N86" s="59">
        <v>18</v>
      </c>
      <c r="O86" s="59">
        <v>22</v>
      </c>
      <c r="P86" s="59" t="s">
        <v>21</v>
      </c>
      <c r="Q86" s="59" t="s">
        <v>21</v>
      </c>
      <c r="R86" s="59" t="s">
        <v>21</v>
      </c>
      <c r="S86" s="59" t="s">
        <v>21</v>
      </c>
      <c r="T86" s="59">
        <v>12</v>
      </c>
      <c r="U86" s="59">
        <v>13</v>
      </c>
      <c r="V86" s="59" t="s">
        <v>21</v>
      </c>
      <c r="W86" s="59" t="s">
        <v>21</v>
      </c>
      <c r="X86" s="59" t="s">
        <v>21</v>
      </c>
      <c r="Y86" s="59" t="s">
        <v>21</v>
      </c>
      <c r="AA86" s="59">
        <v>28</v>
      </c>
      <c r="AB86" s="6">
        <v>17</v>
      </c>
      <c r="AC86" s="6">
        <v>18</v>
      </c>
      <c r="AD86" s="6">
        <v>22</v>
      </c>
      <c r="AE86" s="6" t="s">
        <v>21</v>
      </c>
      <c r="AF86" s="6" t="s">
        <v>21</v>
      </c>
      <c r="AG86" s="6" t="s">
        <v>21</v>
      </c>
      <c r="AH86" s="6">
        <v>9</v>
      </c>
      <c r="AI86" s="6">
        <v>12</v>
      </c>
      <c r="AJ86" s="6">
        <v>13</v>
      </c>
      <c r="AK86" s="6" t="s">
        <v>21</v>
      </c>
      <c r="AL86" s="6" t="s">
        <v>21</v>
      </c>
      <c r="AM86" s="6" t="s">
        <v>21</v>
      </c>
    </row>
    <row r="87" spans="13:39" ht="16.5" customHeight="1" x14ac:dyDescent="0.25">
      <c r="M87" s="59">
        <v>29</v>
      </c>
      <c r="N87" s="59">
        <v>18</v>
      </c>
      <c r="O87" s="59">
        <v>22</v>
      </c>
      <c r="P87" s="59" t="s">
        <v>21</v>
      </c>
      <c r="Q87" s="59" t="s">
        <v>21</v>
      </c>
      <c r="R87" s="59" t="s">
        <v>21</v>
      </c>
      <c r="S87" s="59" t="s">
        <v>21</v>
      </c>
      <c r="T87" s="59">
        <v>12</v>
      </c>
      <c r="U87" s="59">
        <v>13</v>
      </c>
      <c r="V87" s="59" t="s">
        <v>21</v>
      </c>
      <c r="W87" s="59" t="s">
        <v>21</v>
      </c>
      <c r="X87" s="59" t="s">
        <v>21</v>
      </c>
      <c r="Y87" s="59" t="s">
        <v>21</v>
      </c>
      <c r="AA87" s="59">
        <v>29</v>
      </c>
      <c r="AB87" s="6">
        <v>17</v>
      </c>
      <c r="AC87" s="6">
        <v>18</v>
      </c>
      <c r="AD87" s="6">
        <v>21</v>
      </c>
      <c r="AE87" s="6">
        <v>22</v>
      </c>
      <c r="AF87" s="6" t="s">
        <v>21</v>
      </c>
      <c r="AG87" s="6" t="s">
        <v>21</v>
      </c>
      <c r="AH87" s="6">
        <v>9</v>
      </c>
      <c r="AI87" s="6">
        <v>12</v>
      </c>
      <c r="AJ87" s="6">
        <v>13</v>
      </c>
      <c r="AK87" s="6" t="s">
        <v>21</v>
      </c>
      <c r="AL87" s="6" t="s">
        <v>21</v>
      </c>
      <c r="AM87" s="6" t="s">
        <v>21</v>
      </c>
    </row>
    <row r="88" spans="13:39" ht="16.5" customHeight="1" x14ac:dyDescent="0.25">
      <c r="M88" s="59">
        <v>30</v>
      </c>
      <c r="N88" s="59">
        <v>9</v>
      </c>
      <c r="O88" s="59" t="s">
        <v>21</v>
      </c>
      <c r="P88" s="59" t="s">
        <v>21</v>
      </c>
      <c r="Q88" s="59" t="s">
        <v>21</v>
      </c>
      <c r="R88" s="59" t="s">
        <v>21</v>
      </c>
      <c r="S88" s="59" t="s">
        <v>21</v>
      </c>
      <c r="T88" s="59">
        <v>2</v>
      </c>
      <c r="U88" s="59" t="s">
        <v>21</v>
      </c>
      <c r="V88" s="59" t="s">
        <v>21</v>
      </c>
      <c r="W88" s="59" t="s">
        <v>21</v>
      </c>
      <c r="X88" s="59" t="s">
        <v>21</v>
      </c>
      <c r="Y88" s="59" t="s">
        <v>21</v>
      </c>
      <c r="AA88" s="59">
        <v>30</v>
      </c>
      <c r="AB88" s="6">
        <v>9</v>
      </c>
      <c r="AC88" s="6" t="s">
        <v>21</v>
      </c>
      <c r="AD88" s="6" t="s">
        <v>21</v>
      </c>
      <c r="AE88" s="6" t="s">
        <v>21</v>
      </c>
      <c r="AF88" s="6" t="s">
        <v>21</v>
      </c>
      <c r="AG88" s="6" t="s">
        <v>21</v>
      </c>
      <c r="AH88" s="6">
        <v>2</v>
      </c>
      <c r="AI88" s="6">
        <v>3</v>
      </c>
      <c r="AJ88" s="6" t="s">
        <v>21</v>
      </c>
      <c r="AK88" s="6" t="s">
        <v>21</v>
      </c>
      <c r="AL88" s="6" t="s">
        <v>21</v>
      </c>
      <c r="AM88" s="6" t="s">
        <v>21</v>
      </c>
    </row>
    <row r="89" spans="13:39" ht="16.5" customHeight="1" x14ac:dyDescent="0.25">
      <c r="M89" s="59">
        <v>31</v>
      </c>
      <c r="N89" s="59">
        <v>21</v>
      </c>
      <c r="O89" s="59">
        <v>22</v>
      </c>
      <c r="P89" s="59" t="s">
        <v>21</v>
      </c>
      <c r="Q89" s="59" t="s">
        <v>21</v>
      </c>
      <c r="R89" s="59" t="s">
        <v>21</v>
      </c>
      <c r="S89" s="59" t="s">
        <v>21</v>
      </c>
      <c r="T89" s="59">
        <v>11</v>
      </c>
      <c r="U89" s="59">
        <v>12</v>
      </c>
      <c r="V89" s="59">
        <v>13</v>
      </c>
      <c r="W89" s="59" t="s">
        <v>21</v>
      </c>
      <c r="X89" s="59" t="s">
        <v>21</v>
      </c>
      <c r="Y89" s="59" t="s">
        <v>21</v>
      </c>
      <c r="AA89" s="59">
        <v>31</v>
      </c>
      <c r="AB89" s="6">
        <v>11</v>
      </c>
      <c r="AC89" s="6">
        <v>14</v>
      </c>
      <c r="AD89" s="6">
        <v>17</v>
      </c>
      <c r="AE89" s="6" t="s">
        <v>21</v>
      </c>
      <c r="AF89" s="6" t="s">
        <v>21</v>
      </c>
      <c r="AG89" s="6" t="s">
        <v>21</v>
      </c>
      <c r="AH89" s="6">
        <v>9</v>
      </c>
      <c r="AI89" s="6">
        <v>12</v>
      </c>
      <c r="AJ89" s="6">
        <v>13</v>
      </c>
      <c r="AK89" s="6">
        <v>14</v>
      </c>
      <c r="AL89" s="6" t="s">
        <v>21</v>
      </c>
      <c r="AM89" s="6" t="s">
        <v>21</v>
      </c>
    </row>
    <row r="90" spans="13:39" ht="16.5" customHeight="1" x14ac:dyDescent="0.25">
      <c r="M90" s="59">
        <v>32</v>
      </c>
      <c r="N90" s="59">
        <v>21</v>
      </c>
      <c r="O90" s="59">
        <v>22</v>
      </c>
      <c r="P90" s="59" t="s">
        <v>21</v>
      </c>
      <c r="Q90" s="59" t="s">
        <v>21</v>
      </c>
      <c r="R90" s="59" t="s">
        <v>21</v>
      </c>
      <c r="S90" s="59" t="s">
        <v>21</v>
      </c>
      <c r="T90" s="59">
        <v>11</v>
      </c>
      <c r="U90" s="59">
        <v>12</v>
      </c>
      <c r="V90" s="59">
        <v>13</v>
      </c>
      <c r="W90" s="59" t="s">
        <v>21</v>
      </c>
      <c r="X90" s="59" t="s">
        <v>21</v>
      </c>
      <c r="Y90" s="59" t="s">
        <v>21</v>
      </c>
      <c r="AA90" s="59">
        <v>32</v>
      </c>
      <c r="AB90" s="6">
        <v>17</v>
      </c>
      <c r="AC90" s="6">
        <v>18</v>
      </c>
      <c r="AD90" s="6">
        <v>21</v>
      </c>
      <c r="AE90" s="6">
        <v>22</v>
      </c>
      <c r="AF90" s="6" t="s">
        <v>21</v>
      </c>
      <c r="AG90" s="6" t="s">
        <v>21</v>
      </c>
      <c r="AH90" s="6">
        <v>11</v>
      </c>
      <c r="AI90" s="6">
        <v>12</v>
      </c>
      <c r="AJ90" s="6">
        <v>14</v>
      </c>
      <c r="AK90" s="6" t="s">
        <v>21</v>
      </c>
      <c r="AL90" s="6" t="s">
        <v>21</v>
      </c>
      <c r="AM90" s="6" t="s">
        <v>21</v>
      </c>
    </row>
    <row r="91" spans="13:39" ht="16.5" customHeight="1" x14ac:dyDescent="0.25">
      <c r="M91" s="59">
        <v>34</v>
      </c>
      <c r="N91" s="59">
        <v>30</v>
      </c>
      <c r="O91" s="59">
        <v>15</v>
      </c>
      <c r="P91" s="59" t="s">
        <v>21</v>
      </c>
      <c r="Q91" s="59" t="s">
        <v>21</v>
      </c>
      <c r="R91" s="59" t="s">
        <v>21</v>
      </c>
      <c r="S91" s="59" t="s">
        <v>21</v>
      </c>
      <c r="T91" s="59">
        <v>9</v>
      </c>
      <c r="U91" s="59" t="s">
        <v>21</v>
      </c>
      <c r="V91" s="59" t="s">
        <v>21</v>
      </c>
      <c r="W91" s="59" t="s">
        <v>21</v>
      </c>
      <c r="X91" s="59" t="s">
        <v>21</v>
      </c>
      <c r="Y91" s="59" t="s">
        <v>21</v>
      </c>
      <c r="Z91"/>
      <c r="AA91" s="59">
        <v>34</v>
      </c>
      <c r="AB91" s="6">
        <v>10</v>
      </c>
      <c r="AC91" s="6" t="s">
        <v>21</v>
      </c>
      <c r="AD91" s="6" t="s">
        <v>21</v>
      </c>
      <c r="AE91" s="6" t="s">
        <v>21</v>
      </c>
      <c r="AF91" s="6" t="s">
        <v>21</v>
      </c>
      <c r="AG91" s="6" t="s">
        <v>21</v>
      </c>
      <c r="AH91" s="6">
        <v>2</v>
      </c>
      <c r="AI91" s="6">
        <v>9</v>
      </c>
      <c r="AJ91" s="6">
        <v>15</v>
      </c>
      <c r="AK91" s="6" t="s">
        <v>21</v>
      </c>
      <c r="AL91" s="6" t="s">
        <v>21</v>
      </c>
      <c r="AM91" s="6" t="s">
        <v>21</v>
      </c>
    </row>
    <row r="92" spans="13:39" ht="16.5" customHeight="1" x14ac:dyDescent="0.25">
      <c r="M92" s="59">
        <v>35</v>
      </c>
      <c r="N92" s="59">
        <v>19</v>
      </c>
      <c r="O92" s="59">
        <v>28</v>
      </c>
      <c r="P92" s="59">
        <v>29</v>
      </c>
      <c r="Q92" s="59" t="s">
        <v>21</v>
      </c>
      <c r="R92" s="59" t="s">
        <v>21</v>
      </c>
      <c r="S92" s="59" t="s">
        <v>21</v>
      </c>
      <c r="T92" s="59">
        <v>22</v>
      </c>
      <c r="U92" s="59" t="s">
        <v>21</v>
      </c>
      <c r="V92" s="59" t="s">
        <v>21</v>
      </c>
      <c r="W92" s="59" t="s">
        <v>21</v>
      </c>
      <c r="X92" s="59" t="s">
        <v>21</v>
      </c>
      <c r="Y92" s="59" t="s">
        <v>21</v>
      </c>
      <c r="Z92"/>
      <c r="AA92" s="59">
        <v>35</v>
      </c>
      <c r="AB92" s="6">
        <v>27</v>
      </c>
      <c r="AC92" s="6">
        <v>31</v>
      </c>
      <c r="AD92" s="6" t="s">
        <v>21</v>
      </c>
      <c r="AE92" s="6" t="s">
        <v>21</v>
      </c>
      <c r="AF92" s="6" t="s">
        <v>21</v>
      </c>
      <c r="AG92" s="6" t="s">
        <v>21</v>
      </c>
      <c r="AH92" s="6">
        <v>17</v>
      </c>
      <c r="AI92" s="6">
        <v>19</v>
      </c>
      <c r="AJ92" s="6">
        <v>23</v>
      </c>
      <c r="AK92" s="6" t="s">
        <v>21</v>
      </c>
      <c r="AL92" s="6" t="s">
        <v>21</v>
      </c>
      <c r="AM92" s="6" t="s">
        <v>21</v>
      </c>
    </row>
    <row r="93" spans="13:39" ht="16.5" customHeight="1" x14ac:dyDescent="0.25">
      <c r="M93" s="59">
        <v>38</v>
      </c>
      <c r="N93" s="59">
        <v>21</v>
      </c>
      <c r="O93" s="59" t="s">
        <v>21</v>
      </c>
      <c r="P93" s="59" t="s">
        <v>21</v>
      </c>
      <c r="Q93" s="59" t="s">
        <v>21</v>
      </c>
      <c r="R93" s="59" t="s">
        <v>21</v>
      </c>
      <c r="S93" s="59" t="s">
        <v>21</v>
      </c>
      <c r="T93" s="59">
        <v>11</v>
      </c>
      <c r="U93" s="59">
        <v>12</v>
      </c>
      <c r="V93" s="59">
        <v>13</v>
      </c>
      <c r="W93" s="59">
        <v>14</v>
      </c>
      <c r="X93" s="59" t="s">
        <v>21</v>
      </c>
      <c r="Y93" s="59" t="s">
        <v>21</v>
      </c>
      <c r="Z93"/>
      <c r="AA93" s="59">
        <v>38</v>
      </c>
      <c r="AB93" s="6">
        <v>17</v>
      </c>
      <c r="AC93" s="6">
        <v>21</v>
      </c>
      <c r="AD93" s="6">
        <v>22</v>
      </c>
      <c r="AE93" s="6">
        <v>24</v>
      </c>
      <c r="AF93" s="6" t="s">
        <v>21</v>
      </c>
      <c r="AG93" s="6" t="s">
        <v>21</v>
      </c>
      <c r="AH93" s="6">
        <v>9</v>
      </c>
      <c r="AI93" s="6">
        <v>11</v>
      </c>
      <c r="AJ93" s="6">
        <v>14</v>
      </c>
      <c r="AK93" s="6" t="s">
        <v>21</v>
      </c>
      <c r="AL93" s="6" t="s">
        <v>21</v>
      </c>
      <c r="AM93" s="6" t="s">
        <v>21</v>
      </c>
    </row>
    <row r="94" spans="13:39" ht="16.5" customHeight="1" x14ac:dyDescent="0.25">
      <c r="M94" s="59">
        <v>41</v>
      </c>
      <c r="N94" s="59">
        <v>27</v>
      </c>
      <c r="O94" s="59">
        <v>28</v>
      </c>
      <c r="P94" s="59">
        <v>32</v>
      </c>
      <c r="Q94" s="59" t="s">
        <v>21</v>
      </c>
      <c r="R94" s="59" t="s">
        <v>21</v>
      </c>
      <c r="S94" s="59" t="s">
        <v>21</v>
      </c>
      <c r="T94" s="59">
        <v>17</v>
      </c>
      <c r="U94" s="59">
        <v>22</v>
      </c>
      <c r="V94" s="59">
        <v>26</v>
      </c>
      <c r="W94" s="59" t="s">
        <v>21</v>
      </c>
      <c r="X94" s="59" t="s">
        <v>21</v>
      </c>
      <c r="Y94" s="59" t="s">
        <v>21</v>
      </c>
      <c r="Z94"/>
      <c r="AA94" s="59">
        <v>41</v>
      </c>
      <c r="AB94" s="6">
        <v>27</v>
      </c>
      <c r="AC94" s="6">
        <v>28</v>
      </c>
      <c r="AD94" s="6">
        <v>29</v>
      </c>
      <c r="AE94" s="6">
        <v>31</v>
      </c>
      <c r="AF94" s="6">
        <v>32</v>
      </c>
      <c r="AG94" s="6">
        <v>34</v>
      </c>
      <c r="AH94" s="6">
        <v>17</v>
      </c>
      <c r="AI94" s="6">
        <v>21</v>
      </c>
      <c r="AJ94" s="6">
        <v>22</v>
      </c>
      <c r="AK94" s="6">
        <v>25</v>
      </c>
      <c r="AL94" s="6">
        <v>30</v>
      </c>
      <c r="AM94" s="6" t="s">
        <v>21</v>
      </c>
    </row>
    <row r="95" spans="13:39" ht="16.5" customHeight="1" x14ac:dyDescent="0.25">
      <c r="M95" s="59" t="s">
        <v>29</v>
      </c>
      <c r="N95" s="59">
        <v>21</v>
      </c>
      <c r="O95" s="59" t="s">
        <v>21</v>
      </c>
      <c r="P95" s="59" t="s">
        <v>21</v>
      </c>
      <c r="Q95" s="59" t="s">
        <v>21</v>
      </c>
      <c r="R95" s="59" t="s">
        <v>21</v>
      </c>
      <c r="S95" s="59" t="s">
        <v>21</v>
      </c>
      <c r="T95" s="59">
        <v>14</v>
      </c>
      <c r="U95" s="59" t="s">
        <v>21</v>
      </c>
      <c r="V95" s="59" t="s">
        <v>21</v>
      </c>
      <c r="W95" s="59" t="s">
        <v>21</v>
      </c>
      <c r="X95" s="59" t="s">
        <v>21</v>
      </c>
      <c r="Y95" s="59" t="s">
        <v>21</v>
      </c>
      <c r="Z95"/>
      <c r="AA95" s="59" t="s">
        <v>29</v>
      </c>
      <c r="AB95" s="6">
        <v>20</v>
      </c>
      <c r="AC95" s="6">
        <v>21</v>
      </c>
      <c r="AD95" s="6" t="s">
        <v>21</v>
      </c>
      <c r="AE95" s="6" t="s">
        <v>21</v>
      </c>
      <c r="AF95" s="6" t="s">
        <v>21</v>
      </c>
      <c r="AG95" s="6" t="s">
        <v>21</v>
      </c>
      <c r="AH95" s="6">
        <v>14</v>
      </c>
      <c r="AI95" s="6" t="s">
        <v>21</v>
      </c>
      <c r="AJ95" s="6" t="s">
        <v>21</v>
      </c>
      <c r="AK95" s="6" t="s">
        <v>21</v>
      </c>
      <c r="AL95" s="6" t="s">
        <v>21</v>
      </c>
      <c r="AM95" s="6" t="s">
        <v>21</v>
      </c>
    </row>
    <row r="96" spans="13:39" ht="16.5" customHeight="1" x14ac:dyDescent="0.25">
      <c r="M96" s="59" t="s">
        <v>34</v>
      </c>
      <c r="N96" s="59">
        <v>33</v>
      </c>
      <c r="O96" s="59" t="s">
        <v>21</v>
      </c>
      <c r="P96" s="59" t="s">
        <v>21</v>
      </c>
      <c r="Q96" s="59" t="s">
        <v>21</v>
      </c>
      <c r="R96" s="59" t="s">
        <v>21</v>
      </c>
      <c r="S96" s="59" t="s">
        <v>21</v>
      </c>
      <c r="T96" s="59">
        <v>15</v>
      </c>
      <c r="U96" s="59">
        <v>30</v>
      </c>
      <c r="V96" s="59" t="s">
        <v>21</v>
      </c>
      <c r="W96" s="59" t="s">
        <v>21</v>
      </c>
      <c r="X96" s="59" t="s">
        <v>21</v>
      </c>
      <c r="Y96" s="59" t="s">
        <v>21</v>
      </c>
      <c r="Z96"/>
      <c r="AA96" s="59" t="s">
        <v>34</v>
      </c>
      <c r="AB96" s="6" t="s">
        <v>21</v>
      </c>
      <c r="AC96" s="6" t="s">
        <v>21</v>
      </c>
      <c r="AD96" s="6" t="s">
        <v>21</v>
      </c>
      <c r="AE96" s="6" t="s">
        <v>21</v>
      </c>
      <c r="AF96" s="6" t="s">
        <v>21</v>
      </c>
      <c r="AG96" s="6" t="s">
        <v>21</v>
      </c>
      <c r="AH96" s="6">
        <v>15</v>
      </c>
      <c r="AI96" s="6">
        <v>30</v>
      </c>
      <c r="AJ96" s="6" t="s">
        <v>21</v>
      </c>
      <c r="AK96" s="6" t="s">
        <v>21</v>
      </c>
      <c r="AL96" s="6" t="s">
        <v>21</v>
      </c>
      <c r="AM96" s="6" t="s">
        <v>21</v>
      </c>
    </row>
    <row r="97" spans="13:39" ht="16.5" customHeight="1" x14ac:dyDescent="0.25"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/>
      <c r="AA97" s="59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</row>
    <row r="98" spans="13:39" ht="16.5" customHeight="1" x14ac:dyDescent="0.25">
      <c r="M98" t="s">
        <v>90</v>
      </c>
    </row>
    <row r="99" spans="13:39" ht="16.5" customHeight="1" thickBot="1" x14ac:dyDescent="0.3">
      <c r="M99" s="60" t="s">
        <v>59</v>
      </c>
      <c r="N99" s="99" t="s">
        <v>51</v>
      </c>
      <c r="O99" s="99" t="s">
        <v>45</v>
      </c>
      <c r="P99" s="99" t="s">
        <v>46</v>
      </c>
      <c r="Q99" s="99" t="s">
        <v>47</v>
      </c>
      <c r="R99" s="99" t="s">
        <v>104</v>
      </c>
      <c r="S99" s="99" t="s">
        <v>105</v>
      </c>
      <c r="T99" s="99" t="s">
        <v>52</v>
      </c>
      <c r="U99" s="99" t="s">
        <v>48</v>
      </c>
      <c r="V99" s="99" t="s">
        <v>49</v>
      </c>
      <c r="W99" s="99" t="s">
        <v>50</v>
      </c>
      <c r="X99" s="99" t="s">
        <v>106</v>
      </c>
      <c r="Y99" s="99" t="s">
        <v>145</v>
      </c>
    </row>
    <row r="100" spans="13:39" ht="16.5" customHeight="1" thickTop="1" x14ac:dyDescent="0.25">
      <c r="M100" s="53">
        <v>1</v>
      </c>
      <c r="N100" s="53" t="s">
        <v>21</v>
      </c>
      <c r="O100" s="53" t="s">
        <v>21</v>
      </c>
      <c r="P100" s="53" t="s">
        <v>21</v>
      </c>
      <c r="Q100" s="53" t="s">
        <v>21</v>
      </c>
      <c r="R100" s="53" t="s">
        <v>21</v>
      </c>
      <c r="S100" s="53" t="s">
        <v>21</v>
      </c>
      <c r="T100" s="53" t="s">
        <v>21</v>
      </c>
      <c r="U100" s="53" t="s">
        <v>21</v>
      </c>
      <c r="V100" s="53" t="s">
        <v>21</v>
      </c>
      <c r="W100" s="53" t="s">
        <v>21</v>
      </c>
      <c r="X100" s="53" t="s">
        <v>21</v>
      </c>
      <c r="Y100" s="53" t="s">
        <v>21</v>
      </c>
    </row>
    <row r="101" spans="13:39" ht="16.5" customHeight="1" x14ac:dyDescent="0.25">
      <c r="M101" s="53">
        <v>2</v>
      </c>
      <c r="N101" s="53" t="s">
        <v>21</v>
      </c>
      <c r="O101" s="53" t="s">
        <v>21</v>
      </c>
      <c r="P101" s="53" t="s">
        <v>21</v>
      </c>
      <c r="Q101" s="53" t="s">
        <v>21</v>
      </c>
      <c r="R101" s="53" t="s">
        <v>21</v>
      </c>
      <c r="S101" s="53" t="s">
        <v>21</v>
      </c>
      <c r="T101" s="53" t="s">
        <v>21</v>
      </c>
      <c r="U101" s="53" t="s">
        <v>21</v>
      </c>
      <c r="V101" s="53" t="s">
        <v>21</v>
      </c>
      <c r="W101" s="53" t="s">
        <v>21</v>
      </c>
      <c r="X101" s="53" t="s">
        <v>21</v>
      </c>
      <c r="Y101" s="53" t="s">
        <v>21</v>
      </c>
    </row>
    <row r="102" spans="13:39" ht="16.5" customHeight="1" x14ac:dyDescent="0.25">
      <c r="M102" s="53">
        <v>3</v>
      </c>
      <c r="N102" s="53" t="s">
        <v>21</v>
      </c>
      <c r="O102" s="53" t="s">
        <v>21</v>
      </c>
      <c r="P102" s="53" t="s">
        <v>21</v>
      </c>
      <c r="Q102" s="53" t="s">
        <v>21</v>
      </c>
      <c r="R102" s="53" t="s">
        <v>21</v>
      </c>
      <c r="S102" s="53" t="s">
        <v>21</v>
      </c>
      <c r="T102" s="53" t="s">
        <v>21</v>
      </c>
      <c r="U102" s="53" t="s">
        <v>21</v>
      </c>
      <c r="V102" s="53" t="s">
        <v>21</v>
      </c>
      <c r="W102" s="53" t="s">
        <v>21</v>
      </c>
      <c r="X102" s="53" t="s">
        <v>21</v>
      </c>
      <c r="Y102" s="53" t="s">
        <v>21</v>
      </c>
    </row>
    <row r="103" spans="13:39" ht="16.5" customHeight="1" x14ac:dyDescent="0.25">
      <c r="M103" s="53">
        <v>4</v>
      </c>
      <c r="N103" s="53" t="s">
        <v>21</v>
      </c>
      <c r="O103" s="53" t="s">
        <v>21</v>
      </c>
      <c r="P103" s="53" t="s">
        <v>21</v>
      </c>
      <c r="Q103" s="53" t="s">
        <v>21</v>
      </c>
      <c r="R103" s="53" t="s">
        <v>21</v>
      </c>
      <c r="S103" s="53" t="s">
        <v>21</v>
      </c>
      <c r="T103" s="53" t="s">
        <v>21</v>
      </c>
      <c r="U103" s="53" t="s">
        <v>21</v>
      </c>
      <c r="V103" s="53" t="s">
        <v>21</v>
      </c>
      <c r="W103" s="53" t="s">
        <v>21</v>
      </c>
      <c r="X103" s="53" t="s">
        <v>21</v>
      </c>
      <c r="Y103" s="53" t="s">
        <v>21</v>
      </c>
    </row>
    <row r="104" spans="13:39" ht="16.5" customHeight="1" x14ac:dyDescent="0.25">
      <c r="M104" s="53">
        <v>5</v>
      </c>
      <c r="N104" s="53" t="s">
        <v>21</v>
      </c>
      <c r="O104" s="53" t="s">
        <v>21</v>
      </c>
      <c r="P104" s="53" t="s">
        <v>21</v>
      </c>
      <c r="Q104" s="53" t="s">
        <v>21</v>
      </c>
      <c r="R104" s="53" t="s">
        <v>21</v>
      </c>
      <c r="S104" s="53" t="s">
        <v>21</v>
      </c>
      <c r="T104" s="53" t="s">
        <v>21</v>
      </c>
      <c r="U104" s="53" t="s">
        <v>21</v>
      </c>
      <c r="V104" s="53" t="s">
        <v>21</v>
      </c>
      <c r="W104" s="53" t="s">
        <v>21</v>
      </c>
      <c r="X104" s="53" t="s">
        <v>21</v>
      </c>
      <c r="Y104" s="53" t="s">
        <v>21</v>
      </c>
    </row>
    <row r="105" spans="13:39" ht="16.5" customHeight="1" x14ac:dyDescent="0.25">
      <c r="M105" s="53">
        <v>6</v>
      </c>
      <c r="N105" s="53" t="s">
        <v>21</v>
      </c>
      <c r="O105" s="53" t="s">
        <v>21</v>
      </c>
      <c r="P105" s="53" t="s">
        <v>21</v>
      </c>
      <c r="Q105" s="53" t="s">
        <v>21</v>
      </c>
      <c r="R105" s="53" t="s">
        <v>21</v>
      </c>
      <c r="S105" s="53" t="s">
        <v>21</v>
      </c>
      <c r="T105" s="53" t="s">
        <v>21</v>
      </c>
      <c r="U105" s="53" t="s">
        <v>21</v>
      </c>
      <c r="V105" s="53" t="s">
        <v>21</v>
      </c>
      <c r="W105" s="53" t="s">
        <v>21</v>
      </c>
      <c r="X105" s="53" t="s">
        <v>21</v>
      </c>
      <c r="Y105" s="53" t="s">
        <v>21</v>
      </c>
    </row>
    <row r="106" spans="13:39" ht="16.5" customHeight="1" x14ac:dyDescent="0.25">
      <c r="M106" s="53">
        <v>7</v>
      </c>
      <c r="N106" s="53" t="s">
        <v>21</v>
      </c>
      <c r="O106" s="53" t="s">
        <v>21</v>
      </c>
      <c r="P106" s="53" t="s">
        <v>21</v>
      </c>
      <c r="Q106" s="53" t="s">
        <v>21</v>
      </c>
      <c r="R106" s="53" t="s">
        <v>21</v>
      </c>
      <c r="S106" s="53" t="s">
        <v>21</v>
      </c>
      <c r="T106" s="53" t="s">
        <v>21</v>
      </c>
      <c r="U106" s="53" t="s">
        <v>21</v>
      </c>
      <c r="V106" s="53" t="s">
        <v>21</v>
      </c>
      <c r="W106" s="53" t="s">
        <v>21</v>
      </c>
      <c r="X106" s="53" t="s">
        <v>21</v>
      </c>
      <c r="Y106" s="53" t="s">
        <v>21</v>
      </c>
    </row>
    <row r="107" spans="13:39" ht="16.5" customHeight="1" x14ac:dyDescent="0.25">
      <c r="M107" s="53">
        <v>8</v>
      </c>
      <c r="N107" s="53" t="s">
        <v>21</v>
      </c>
      <c r="O107" s="53" t="s">
        <v>21</v>
      </c>
      <c r="P107" s="53" t="s">
        <v>21</v>
      </c>
      <c r="Q107" s="53" t="s">
        <v>21</v>
      </c>
      <c r="R107" s="53" t="s">
        <v>21</v>
      </c>
      <c r="S107" s="53" t="s">
        <v>21</v>
      </c>
      <c r="T107" s="53" t="s">
        <v>21</v>
      </c>
      <c r="U107" s="53" t="s">
        <v>21</v>
      </c>
      <c r="V107" s="53" t="s">
        <v>21</v>
      </c>
      <c r="W107" s="53" t="s">
        <v>21</v>
      </c>
      <c r="X107" s="53" t="s">
        <v>21</v>
      </c>
      <c r="Y107" s="53" t="s">
        <v>21</v>
      </c>
    </row>
    <row r="108" spans="13:39" ht="16.5" customHeight="1" x14ac:dyDescent="0.25">
      <c r="M108" s="53">
        <v>10</v>
      </c>
      <c r="N108" s="53">
        <v>3</v>
      </c>
      <c r="O108" s="53">
        <v>4</v>
      </c>
      <c r="P108" s="53" t="s">
        <v>21</v>
      </c>
      <c r="Q108" s="53" t="s">
        <v>21</v>
      </c>
      <c r="R108" s="53" t="s">
        <v>21</v>
      </c>
      <c r="S108" s="53" t="s">
        <v>21</v>
      </c>
      <c r="T108" s="53" t="s">
        <v>21</v>
      </c>
      <c r="U108" s="53" t="s">
        <v>21</v>
      </c>
      <c r="V108" s="53" t="s">
        <v>21</v>
      </c>
      <c r="W108" s="53" t="s">
        <v>21</v>
      </c>
      <c r="X108" s="53" t="s">
        <v>21</v>
      </c>
      <c r="Y108" s="53" t="s">
        <v>21</v>
      </c>
    </row>
    <row r="109" spans="13:39" ht="16.5" customHeight="1" x14ac:dyDescent="0.25">
      <c r="M109" s="53">
        <v>11</v>
      </c>
      <c r="N109" s="53">
        <v>6</v>
      </c>
      <c r="O109" s="53" t="s">
        <v>21</v>
      </c>
      <c r="P109" s="53" t="s">
        <v>21</v>
      </c>
      <c r="Q109" s="53" t="s">
        <v>21</v>
      </c>
      <c r="R109" s="53" t="s">
        <v>21</v>
      </c>
      <c r="S109" s="53" t="s">
        <v>21</v>
      </c>
      <c r="T109" s="53" t="s">
        <v>21</v>
      </c>
      <c r="U109" s="53" t="s">
        <v>21</v>
      </c>
      <c r="V109" s="53" t="s">
        <v>21</v>
      </c>
      <c r="W109" s="53" t="s">
        <v>21</v>
      </c>
      <c r="X109" s="53" t="s">
        <v>21</v>
      </c>
      <c r="Y109" s="53" t="s">
        <v>21</v>
      </c>
    </row>
    <row r="110" spans="13:39" ht="16.5" customHeight="1" x14ac:dyDescent="0.25">
      <c r="M110" s="53">
        <v>12</v>
      </c>
      <c r="N110" s="53">
        <v>3</v>
      </c>
      <c r="O110" s="53">
        <v>4</v>
      </c>
      <c r="P110" s="53" t="s">
        <v>21</v>
      </c>
      <c r="Q110" s="53" t="s">
        <v>21</v>
      </c>
      <c r="R110" s="53" t="s">
        <v>21</v>
      </c>
      <c r="S110" s="53" t="s">
        <v>21</v>
      </c>
      <c r="T110" s="53" t="s">
        <v>21</v>
      </c>
      <c r="U110" s="53" t="s">
        <v>21</v>
      </c>
      <c r="V110" s="53" t="s">
        <v>21</v>
      </c>
      <c r="W110" s="53" t="s">
        <v>21</v>
      </c>
      <c r="X110" s="53" t="s">
        <v>21</v>
      </c>
      <c r="Y110" s="53" t="s">
        <v>21</v>
      </c>
    </row>
    <row r="111" spans="13:39" ht="16.5" customHeight="1" x14ac:dyDescent="0.25">
      <c r="M111" s="53">
        <v>13</v>
      </c>
      <c r="N111" s="53">
        <v>4</v>
      </c>
      <c r="O111" s="53">
        <v>5</v>
      </c>
      <c r="P111" s="53" t="s">
        <v>21</v>
      </c>
      <c r="Q111" s="53" t="s">
        <v>21</v>
      </c>
      <c r="R111" s="53" t="s">
        <v>21</v>
      </c>
      <c r="S111" s="53" t="s">
        <v>21</v>
      </c>
      <c r="T111" s="53" t="s">
        <v>21</v>
      </c>
      <c r="U111" s="53" t="s">
        <v>21</v>
      </c>
      <c r="V111" s="53" t="s">
        <v>21</v>
      </c>
      <c r="W111" s="53" t="s">
        <v>21</v>
      </c>
      <c r="X111" s="53" t="s">
        <v>21</v>
      </c>
      <c r="Y111" s="53" t="s">
        <v>21</v>
      </c>
    </row>
    <row r="112" spans="13:39" ht="16.5" customHeight="1" x14ac:dyDescent="0.25">
      <c r="M112" s="53">
        <v>14</v>
      </c>
      <c r="N112" s="53">
        <v>6</v>
      </c>
      <c r="O112" s="53" t="s">
        <v>21</v>
      </c>
      <c r="P112" s="53" t="s">
        <v>21</v>
      </c>
      <c r="Q112" s="53" t="s">
        <v>21</v>
      </c>
      <c r="R112" s="53" t="s">
        <v>21</v>
      </c>
      <c r="S112" s="53" t="s">
        <v>21</v>
      </c>
      <c r="T112" s="53" t="s">
        <v>21</v>
      </c>
      <c r="U112" s="53" t="s">
        <v>21</v>
      </c>
      <c r="V112" s="53" t="s">
        <v>21</v>
      </c>
      <c r="W112" s="53" t="s">
        <v>21</v>
      </c>
      <c r="X112" s="53" t="s">
        <v>21</v>
      </c>
      <c r="Y112" s="53" t="s">
        <v>21</v>
      </c>
    </row>
    <row r="113" spans="13:25" ht="16.5" customHeight="1" x14ac:dyDescent="0.25">
      <c r="M113" s="53">
        <v>16</v>
      </c>
      <c r="N113" s="53" t="s">
        <v>21</v>
      </c>
      <c r="O113" s="53" t="s">
        <v>21</v>
      </c>
      <c r="P113" s="53" t="s">
        <v>21</v>
      </c>
      <c r="Q113" s="53" t="s">
        <v>21</v>
      </c>
      <c r="R113" s="53" t="s">
        <v>21</v>
      </c>
      <c r="S113" s="53" t="s">
        <v>21</v>
      </c>
      <c r="T113" s="53" t="s">
        <v>21</v>
      </c>
      <c r="U113" s="53" t="s">
        <v>21</v>
      </c>
      <c r="V113" s="53" t="s">
        <v>21</v>
      </c>
      <c r="W113" s="53" t="s">
        <v>21</v>
      </c>
      <c r="X113" s="53" t="s">
        <v>21</v>
      </c>
      <c r="Y113" s="53" t="s">
        <v>21</v>
      </c>
    </row>
    <row r="114" spans="13:25" ht="16.5" customHeight="1" x14ac:dyDescent="0.25">
      <c r="M114" s="53">
        <v>19</v>
      </c>
      <c r="N114" s="53">
        <v>12</v>
      </c>
      <c r="O114" s="53" t="s">
        <v>21</v>
      </c>
      <c r="P114" s="53" t="s">
        <v>21</v>
      </c>
      <c r="Q114" s="53" t="s">
        <v>21</v>
      </c>
      <c r="R114" s="53" t="s">
        <v>21</v>
      </c>
      <c r="S114" s="53" t="s">
        <v>21</v>
      </c>
      <c r="T114" s="53">
        <v>3</v>
      </c>
      <c r="U114" s="53">
        <v>4</v>
      </c>
      <c r="V114" s="53" t="s">
        <v>21</v>
      </c>
      <c r="W114" s="53" t="s">
        <v>21</v>
      </c>
      <c r="X114" s="53" t="s">
        <v>21</v>
      </c>
      <c r="Y114" s="53" t="s">
        <v>21</v>
      </c>
    </row>
    <row r="115" spans="13:25" ht="16.5" customHeight="1" x14ac:dyDescent="0.25">
      <c r="M115" s="53">
        <v>20</v>
      </c>
      <c r="N115" s="53">
        <v>9</v>
      </c>
      <c r="O115" s="53">
        <v>11</v>
      </c>
      <c r="P115" s="53">
        <v>14</v>
      </c>
      <c r="Q115" s="53" t="s">
        <v>21</v>
      </c>
      <c r="R115" s="53" t="s">
        <v>21</v>
      </c>
      <c r="S115" s="53" t="s">
        <v>21</v>
      </c>
      <c r="T115" s="53">
        <v>1</v>
      </c>
      <c r="U115" s="53">
        <v>6</v>
      </c>
      <c r="V115" s="53" t="s">
        <v>21</v>
      </c>
      <c r="W115" s="53" t="s">
        <v>21</v>
      </c>
      <c r="X115" s="53" t="s">
        <v>21</v>
      </c>
      <c r="Y115" s="53" t="s">
        <v>21</v>
      </c>
    </row>
    <row r="116" spans="13:25" ht="16.5" customHeight="1" x14ac:dyDescent="0.25">
      <c r="M116" s="53">
        <v>24</v>
      </c>
      <c r="N116" s="53">
        <v>11</v>
      </c>
      <c r="O116" s="53">
        <v>14</v>
      </c>
      <c r="P116" s="53" t="s">
        <v>21</v>
      </c>
      <c r="Q116" s="53" t="s">
        <v>21</v>
      </c>
      <c r="R116" s="53" t="s">
        <v>21</v>
      </c>
      <c r="S116" s="53" t="s">
        <v>21</v>
      </c>
      <c r="T116" s="53">
        <v>6</v>
      </c>
      <c r="U116" s="53" t="s">
        <v>21</v>
      </c>
      <c r="V116" s="53" t="s">
        <v>21</v>
      </c>
      <c r="W116" s="53" t="s">
        <v>21</v>
      </c>
      <c r="X116" s="53" t="s">
        <v>21</v>
      </c>
      <c r="Y116" s="53" t="s">
        <v>21</v>
      </c>
    </row>
    <row r="117" spans="13:25" ht="16.5" customHeight="1" x14ac:dyDescent="0.25">
      <c r="M117" s="53">
        <v>25</v>
      </c>
      <c r="N117" s="53">
        <v>9</v>
      </c>
      <c r="O117" s="53">
        <v>11</v>
      </c>
      <c r="P117" s="53">
        <v>13</v>
      </c>
      <c r="Q117" s="53">
        <v>14</v>
      </c>
      <c r="R117" s="53" t="s">
        <v>21</v>
      </c>
      <c r="S117" s="53" t="s">
        <v>21</v>
      </c>
      <c r="T117" s="53">
        <v>1</v>
      </c>
      <c r="U117" s="53">
        <v>2</v>
      </c>
      <c r="V117" s="53">
        <v>6</v>
      </c>
      <c r="W117" s="53">
        <v>16</v>
      </c>
      <c r="X117" s="53" t="s">
        <v>21</v>
      </c>
      <c r="Y117" s="53" t="s">
        <v>21</v>
      </c>
    </row>
    <row r="118" spans="13:25" ht="16.5" customHeight="1" x14ac:dyDescent="0.25">
      <c r="M118" s="53">
        <v>33</v>
      </c>
      <c r="N118" s="53">
        <v>10</v>
      </c>
      <c r="O118" s="53">
        <v>25</v>
      </c>
      <c r="P118" s="53" t="s">
        <v>21</v>
      </c>
      <c r="Q118" s="53" t="s">
        <v>21</v>
      </c>
      <c r="R118" s="53" t="s">
        <v>21</v>
      </c>
      <c r="S118" s="53" t="s">
        <v>21</v>
      </c>
      <c r="T118" s="53">
        <v>4</v>
      </c>
      <c r="U118" s="53" t="s">
        <v>21</v>
      </c>
      <c r="V118" s="53" t="s">
        <v>21</v>
      </c>
      <c r="W118" s="53" t="s">
        <v>21</v>
      </c>
      <c r="X118" s="53" t="s">
        <v>21</v>
      </c>
      <c r="Y118" s="53" t="s">
        <v>21</v>
      </c>
    </row>
    <row r="119" spans="13:25" ht="16.5" customHeight="1" x14ac:dyDescent="0.25">
      <c r="M119" s="53">
        <v>34</v>
      </c>
      <c r="N119" s="53">
        <v>10</v>
      </c>
      <c r="O119" s="53" t="s">
        <v>21</v>
      </c>
      <c r="P119" s="53" t="s">
        <v>21</v>
      </c>
      <c r="Q119" s="53" t="s">
        <v>21</v>
      </c>
      <c r="R119" s="53" t="s">
        <v>21</v>
      </c>
      <c r="S119" s="53" t="s">
        <v>21</v>
      </c>
      <c r="T119" s="53">
        <v>2</v>
      </c>
      <c r="U119" s="53">
        <v>9</v>
      </c>
      <c r="V119" s="53">
        <v>15</v>
      </c>
      <c r="W119" s="53" t="s">
        <v>21</v>
      </c>
      <c r="X119" s="53" t="s">
        <v>21</v>
      </c>
      <c r="Y119" s="53" t="s">
        <v>21</v>
      </c>
    </row>
    <row r="120" spans="13:25" ht="16.5" customHeight="1" x14ac:dyDescent="0.25">
      <c r="M120" s="53">
        <v>36</v>
      </c>
      <c r="N120" s="53">
        <v>9</v>
      </c>
      <c r="O120" s="53">
        <v>21</v>
      </c>
      <c r="P120" s="53" t="s">
        <v>21</v>
      </c>
      <c r="Q120" s="53" t="s">
        <v>21</v>
      </c>
      <c r="R120" s="53" t="s">
        <v>21</v>
      </c>
      <c r="S120" s="53" t="s">
        <v>21</v>
      </c>
      <c r="T120" s="53">
        <v>5</v>
      </c>
      <c r="U120" s="53">
        <v>11</v>
      </c>
      <c r="V120" s="53">
        <v>20</v>
      </c>
      <c r="W120" s="53" t="s">
        <v>21</v>
      </c>
      <c r="X120" s="53" t="s">
        <v>21</v>
      </c>
      <c r="Y120" s="53" t="s">
        <v>21</v>
      </c>
    </row>
    <row r="121" spans="13:25" ht="16.5" customHeight="1" x14ac:dyDescent="0.25">
      <c r="M121" s="53">
        <v>37</v>
      </c>
      <c r="N121" s="53">
        <v>25</v>
      </c>
      <c r="O121" s="53">
        <v>28</v>
      </c>
      <c r="P121" s="53">
        <v>31</v>
      </c>
      <c r="Q121" s="53">
        <v>32</v>
      </c>
      <c r="R121" s="53" t="s">
        <v>21</v>
      </c>
      <c r="S121" s="53" t="s">
        <v>21</v>
      </c>
      <c r="T121" s="53">
        <v>15</v>
      </c>
      <c r="U121" s="53">
        <v>17</v>
      </c>
      <c r="V121" s="53">
        <v>23</v>
      </c>
      <c r="W121" s="53" t="s">
        <v>21</v>
      </c>
      <c r="X121" s="53" t="s">
        <v>21</v>
      </c>
      <c r="Y121" s="53" t="s">
        <v>21</v>
      </c>
    </row>
    <row r="122" spans="13:25" ht="16.5" customHeight="1" x14ac:dyDescent="0.25">
      <c r="M122" s="53">
        <v>39</v>
      </c>
      <c r="N122" s="53">
        <v>11</v>
      </c>
      <c r="O122" s="53">
        <v>14</v>
      </c>
      <c r="P122" s="53">
        <v>17</v>
      </c>
      <c r="Q122" s="53" t="s">
        <v>21</v>
      </c>
      <c r="R122" s="53" t="s">
        <v>21</v>
      </c>
      <c r="S122" s="53" t="s">
        <v>21</v>
      </c>
      <c r="T122" s="53">
        <v>9</v>
      </c>
      <c r="U122" s="53" t="s">
        <v>21</v>
      </c>
      <c r="V122" s="53" t="s">
        <v>21</v>
      </c>
      <c r="W122" s="53" t="s">
        <v>21</v>
      </c>
      <c r="X122" s="53" t="s">
        <v>21</v>
      </c>
      <c r="Y122" s="53" t="s">
        <v>21</v>
      </c>
    </row>
    <row r="123" spans="13:25" ht="16.5" customHeight="1" x14ac:dyDescent="0.25">
      <c r="M123" s="53">
        <v>40</v>
      </c>
      <c r="N123" s="53">
        <v>28</v>
      </c>
      <c r="O123" s="53" t="s">
        <v>21</v>
      </c>
      <c r="P123" s="53" t="s">
        <v>21</v>
      </c>
      <c r="Q123" s="53" t="s">
        <v>21</v>
      </c>
      <c r="R123" s="53" t="s">
        <v>21</v>
      </c>
      <c r="S123" s="53" t="s">
        <v>21</v>
      </c>
      <c r="T123" s="53">
        <v>9</v>
      </c>
      <c r="U123" s="53">
        <v>13</v>
      </c>
      <c r="V123" s="53" t="s">
        <v>21</v>
      </c>
      <c r="W123" s="53" t="s">
        <v>21</v>
      </c>
      <c r="X123" s="53" t="s">
        <v>21</v>
      </c>
      <c r="Y123" s="53" t="s">
        <v>21</v>
      </c>
    </row>
    <row r="124" spans="13:25" ht="16.5" customHeight="1" x14ac:dyDescent="0.25">
      <c r="M124" s="53" t="s">
        <v>27</v>
      </c>
      <c r="N124" s="53">
        <v>38</v>
      </c>
      <c r="O124" s="53" t="s">
        <v>21</v>
      </c>
      <c r="P124" s="53" t="s">
        <v>21</v>
      </c>
      <c r="Q124" s="53" t="s">
        <v>21</v>
      </c>
      <c r="R124" s="53" t="s">
        <v>21</v>
      </c>
      <c r="S124" s="53" t="s">
        <v>21</v>
      </c>
      <c r="T124" s="53">
        <v>22</v>
      </c>
      <c r="U124" s="53" t="s">
        <v>21</v>
      </c>
      <c r="V124" s="53" t="s">
        <v>21</v>
      </c>
      <c r="W124" s="53" t="s">
        <v>21</v>
      </c>
      <c r="X124" s="53" t="s">
        <v>21</v>
      </c>
      <c r="Y124" s="53" t="s">
        <v>21</v>
      </c>
    </row>
    <row r="125" spans="13:25" ht="16.5" customHeight="1" x14ac:dyDescent="0.25">
      <c r="M125" s="53" t="s">
        <v>36</v>
      </c>
      <c r="N125" s="53">
        <v>27</v>
      </c>
      <c r="O125" s="53">
        <v>34</v>
      </c>
      <c r="P125" s="53" t="s">
        <v>21</v>
      </c>
      <c r="Q125" s="53" t="s">
        <v>21</v>
      </c>
      <c r="R125" s="53" t="s">
        <v>21</v>
      </c>
      <c r="S125" s="53" t="s">
        <v>21</v>
      </c>
      <c r="T125" s="53">
        <v>17</v>
      </c>
      <c r="U125" s="53">
        <v>30</v>
      </c>
      <c r="V125" s="53" t="s">
        <v>21</v>
      </c>
      <c r="W125" s="53" t="s">
        <v>21</v>
      </c>
      <c r="X125" s="53" t="s">
        <v>21</v>
      </c>
      <c r="Y125" s="53" t="s">
        <v>21</v>
      </c>
    </row>
    <row r="126" spans="13:25" ht="16.5" customHeight="1" x14ac:dyDescent="0.25">
      <c r="M126" s="53" t="s">
        <v>28</v>
      </c>
      <c r="N126" s="53">
        <v>36</v>
      </c>
      <c r="O126" s="53" t="s">
        <v>21</v>
      </c>
      <c r="P126" s="53" t="s">
        <v>21</v>
      </c>
      <c r="Q126" s="53" t="s">
        <v>21</v>
      </c>
      <c r="R126" s="53" t="s">
        <v>21</v>
      </c>
      <c r="S126" s="53" t="s">
        <v>21</v>
      </c>
      <c r="T126" s="53" t="s">
        <v>21</v>
      </c>
      <c r="U126" s="53" t="s">
        <v>21</v>
      </c>
      <c r="V126" s="53" t="s">
        <v>21</v>
      </c>
      <c r="W126" s="53" t="s">
        <v>21</v>
      </c>
      <c r="X126" s="53" t="s">
        <v>21</v>
      </c>
      <c r="Y126" s="53" t="s">
        <v>21</v>
      </c>
    </row>
    <row r="127" spans="13:25" ht="16.5" customHeight="1" x14ac:dyDescent="0.25">
      <c r="M127" s="53" t="s">
        <v>30</v>
      </c>
      <c r="N127" s="53">
        <v>34</v>
      </c>
      <c r="O127" s="53" t="s">
        <v>21</v>
      </c>
      <c r="P127" s="53" t="s">
        <v>21</v>
      </c>
      <c r="Q127" s="53" t="s">
        <v>21</v>
      </c>
      <c r="R127" s="53" t="s">
        <v>21</v>
      </c>
      <c r="S127" s="53" t="s">
        <v>21</v>
      </c>
      <c r="T127" s="53">
        <v>15</v>
      </c>
      <c r="U127" s="53" t="s">
        <v>21</v>
      </c>
      <c r="V127" s="53" t="s">
        <v>21</v>
      </c>
      <c r="W127" s="53" t="s">
        <v>21</v>
      </c>
      <c r="X127" s="53" t="s">
        <v>21</v>
      </c>
      <c r="Y127" s="53" t="s">
        <v>21</v>
      </c>
    </row>
    <row r="128" spans="13:25" ht="16.5" customHeight="1" x14ac:dyDescent="0.25">
      <c r="M128" s="53" t="s">
        <v>31</v>
      </c>
      <c r="N128" s="53">
        <v>32</v>
      </c>
      <c r="O128" s="53" t="s">
        <v>21</v>
      </c>
      <c r="P128" s="53" t="s">
        <v>21</v>
      </c>
      <c r="Q128" s="53" t="s">
        <v>21</v>
      </c>
      <c r="R128" s="53" t="s">
        <v>21</v>
      </c>
      <c r="S128" s="53" t="s">
        <v>21</v>
      </c>
      <c r="T128" s="53">
        <v>21</v>
      </c>
      <c r="U128" s="53" t="s">
        <v>21</v>
      </c>
      <c r="V128" s="53" t="s">
        <v>21</v>
      </c>
      <c r="W128" s="53" t="s">
        <v>21</v>
      </c>
      <c r="X128" s="53" t="s">
        <v>21</v>
      </c>
      <c r="Y128" s="53" t="s">
        <v>21</v>
      </c>
    </row>
    <row r="129" spans="13:25" ht="16.5" customHeight="1" x14ac:dyDescent="0.25">
      <c r="M129" s="53" t="s">
        <v>32</v>
      </c>
      <c r="N129" s="53">
        <v>27</v>
      </c>
      <c r="O129" s="53">
        <v>28</v>
      </c>
      <c r="P129" s="53">
        <v>32</v>
      </c>
      <c r="Q129" s="53" t="s">
        <v>21</v>
      </c>
      <c r="R129" s="53" t="s">
        <v>21</v>
      </c>
      <c r="S129" s="53" t="s">
        <v>21</v>
      </c>
      <c r="T129" s="53">
        <v>17</v>
      </c>
      <c r="U129" s="53">
        <v>22</v>
      </c>
      <c r="V129" s="53">
        <v>26</v>
      </c>
      <c r="W129" s="53" t="s">
        <v>21</v>
      </c>
      <c r="X129" s="53" t="s">
        <v>21</v>
      </c>
      <c r="Y129" s="53" t="s">
        <v>21</v>
      </c>
    </row>
    <row r="130" spans="13:25" ht="16.5" customHeight="1" x14ac:dyDescent="0.25">
      <c r="M130" s="53" t="s">
        <v>33</v>
      </c>
      <c r="N130" s="53">
        <v>34</v>
      </c>
      <c r="O130" s="53" t="s">
        <v>21</v>
      </c>
      <c r="P130" s="53" t="s">
        <v>21</v>
      </c>
      <c r="Q130" s="53" t="s">
        <v>21</v>
      </c>
      <c r="R130" s="53" t="s">
        <v>21</v>
      </c>
      <c r="S130" s="53" t="s">
        <v>21</v>
      </c>
      <c r="T130" s="53">
        <v>15</v>
      </c>
      <c r="U130" s="53" t="s">
        <v>21</v>
      </c>
      <c r="V130" s="53" t="s">
        <v>21</v>
      </c>
      <c r="W130" s="53" t="s">
        <v>21</v>
      </c>
      <c r="X130" s="53" t="s">
        <v>21</v>
      </c>
      <c r="Y130" s="53" t="s">
        <v>21</v>
      </c>
    </row>
    <row r="131" spans="13:25" ht="16.5" customHeight="1" x14ac:dyDescent="0.25">
      <c r="M131" s="53" t="s">
        <v>35</v>
      </c>
      <c r="N131" s="53">
        <v>27</v>
      </c>
      <c r="O131" s="53">
        <v>28</v>
      </c>
      <c r="P131" s="53">
        <v>29</v>
      </c>
      <c r="Q131" s="53">
        <v>31</v>
      </c>
      <c r="R131" s="53">
        <v>32</v>
      </c>
      <c r="S131" s="53">
        <v>34</v>
      </c>
      <c r="T131" s="53">
        <v>17</v>
      </c>
      <c r="U131" s="53">
        <v>21</v>
      </c>
      <c r="V131" s="53">
        <v>22</v>
      </c>
      <c r="W131" s="53">
        <v>25</v>
      </c>
      <c r="X131" s="53">
        <v>30</v>
      </c>
      <c r="Y131" s="53" t="s">
        <v>21</v>
      </c>
    </row>
    <row r="132" spans="13:25" ht="16.5" customHeight="1" x14ac:dyDescent="0.25"/>
    <row r="133" spans="13:25" ht="16.5" customHeight="1" x14ac:dyDescent="0.25"/>
    <row r="134" spans="13:25" ht="16.5" customHeight="1" x14ac:dyDescent="0.25">
      <c r="M134" s="47" t="s">
        <v>69</v>
      </c>
    </row>
    <row r="135" spans="13:25" ht="16.5" customHeight="1" x14ac:dyDescent="0.25">
      <c r="M135" s="48" t="str" cm="1">
        <f t="array" ref="M135:M185">_xlfn._xlws.SORT(_xlfn._xlws.FILTER(Tabla1[Materia],Tabla1[HALLAR]))</f>
        <v>Algebra y Geometría Analítica</v>
      </c>
    </row>
    <row r="136" spans="13:25" ht="16.5" customHeight="1" x14ac:dyDescent="0.25">
      <c r="M136" t="str">
        <v>Análisis Matemático 1</v>
      </c>
    </row>
    <row r="137" spans="13:25" ht="16.5" customHeight="1" x14ac:dyDescent="0.25">
      <c r="M137" t="str">
        <v>Análisis Matemático 2</v>
      </c>
    </row>
    <row r="138" spans="13:25" ht="16.5" customHeight="1" x14ac:dyDescent="0.25">
      <c r="M138" t="str">
        <v>Balances de Masa y Energía (Int. III)</v>
      </c>
    </row>
    <row r="139" spans="13:25" ht="16.5" customHeight="1" x14ac:dyDescent="0.25">
      <c r="M139" t="str">
        <v>Calidad y Control Estadístico de Procesos</v>
      </c>
    </row>
    <row r="140" spans="13:25" ht="16.5" customHeight="1" x14ac:dyDescent="0.25">
      <c r="M140" t="str">
        <v>Catalizadores y Procesos Catalíticos</v>
      </c>
    </row>
    <row r="141" spans="13:25" x14ac:dyDescent="0.25">
      <c r="M141" t="str">
        <v>Ciencia de los Materiales</v>
      </c>
    </row>
    <row r="142" spans="13:25" x14ac:dyDescent="0.25">
      <c r="M142" t="str">
        <v>Control Automático de Procesos</v>
      </c>
    </row>
    <row r="143" spans="13:25" x14ac:dyDescent="0.25">
      <c r="M143" t="str">
        <v>Diseño, Simulación, Optimización y Seguridad de Procesos (Int. IV)</v>
      </c>
    </row>
    <row r="144" spans="13:25" x14ac:dyDescent="0.25">
      <c r="M144" t="str">
        <v>Economía</v>
      </c>
    </row>
    <row r="145" spans="13:13" x14ac:dyDescent="0.25">
      <c r="M145" t="str">
        <v>Fenómenos de Transporte</v>
      </c>
    </row>
    <row r="146" spans="13:13" x14ac:dyDescent="0.25">
      <c r="M146" t="str">
        <v>Física 1</v>
      </c>
    </row>
    <row r="147" spans="13:13" x14ac:dyDescent="0.25">
      <c r="M147" t="str">
        <v>Física 2</v>
      </c>
    </row>
    <row r="148" spans="13:13" x14ac:dyDescent="0.25">
      <c r="M148" t="str">
        <v>Física de los Materiales</v>
      </c>
    </row>
    <row r="149" spans="13:13" x14ac:dyDescent="0.25">
      <c r="M149" t="str">
        <v>Fisicoquímica</v>
      </c>
    </row>
    <row r="150" spans="13:13" x14ac:dyDescent="0.25">
      <c r="M150" t="str">
        <v>Formaciones de Tutores Emprendedores</v>
      </c>
    </row>
    <row r="151" spans="13:13" x14ac:dyDescent="0.25">
      <c r="M151" t="str">
        <v>Fundamentos de Informática</v>
      </c>
    </row>
    <row r="152" spans="13:13" x14ac:dyDescent="0.25">
      <c r="M152" t="str">
        <v>Gestión de Potencial Humano</v>
      </c>
    </row>
    <row r="153" spans="13:13" x14ac:dyDescent="0.25">
      <c r="M153" t="str">
        <v>Herramientas de Dirección y Gestión Empresarial</v>
      </c>
    </row>
    <row r="154" spans="13:13" x14ac:dyDescent="0.25">
      <c r="M154" t="str">
        <v>Higiene y Seguridad de Procesos</v>
      </c>
    </row>
    <row r="155" spans="13:13" x14ac:dyDescent="0.25">
      <c r="M155" t="str">
        <v>Ingeniería Ambiental</v>
      </c>
    </row>
    <row r="156" spans="13:13" x14ac:dyDescent="0.25">
      <c r="M156" t="str">
        <v>Ingeniería de las Instalaciones</v>
      </c>
    </row>
    <row r="157" spans="13:13" x14ac:dyDescent="0.25">
      <c r="M157" t="str">
        <v>Ingeniería de las Reacciones Químicas</v>
      </c>
    </row>
    <row r="158" spans="13:13" x14ac:dyDescent="0.25">
      <c r="M158" t="str">
        <v>Ingeniería y Sociedad</v>
      </c>
    </row>
    <row r="159" spans="13:13" x14ac:dyDescent="0.25">
      <c r="M159" t="str">
        <v>Inglés 1</v>
      </c>
    </row>
    <row r="160" spans="13:13" x14ac:dyDescent="0.25">
      <c r="M160" t="str">
        <v>Inglés 2</v>
      </c>
    </row>
    <row r="161" spans="13:13" x14ac:dyDescent="0.25">
      <c r="M161" t="str">
        <v>Introducción a Equipos y Procesos (Int. II)</v>
      </c>
    </row>
    <row r="162" spans="13:13" x14ac:dyDescent="0.25">
      <c r="M162" t="str">
        <v>Introducción a la Ingeniería Química (Int. I)</v>
      </c>
    </row>
    <row r="163" spans="13:13" x14ac:dyDescent="0.25">
      <c r="M163" t="str">
        <v>Introducción a la Investigación Científica</v>
      </c>
    </row>
    <row r="164" spans="13:13" x14ac:dyDescent="0.25">
      <c r="M164" t="str">
        <v>Legislación</v>
      </c>
    </row>
    <row r="165" spans="13:13" x14ac:dyDescent="0.25">
      <c r="M165" t="str">
        <v>Máquinas e Instalaciones Eléctricas</v>
      </c>
    </row>
    <row r="166" spans="13:13" x14ac:dyDescent="0.25">
      <c r="M166" t="str">
        <v>Matemática Superior Aplicada</v>
      </c>
    </row>
    <row r="167" spans="13:13" x14ac:dyDescent="0.25">
      <c r="M167" t="str">
        <v>Mecánica Industrial</v>
      </c>
    </row>
    <row r="168" spans="13:13" x14ac:dyDescent="0.25">
      <c r="M168" t="str">
        <v>Microbiología y Química Biológica</v>
      </c>
    </row>
    <row r="169" spans="13:13" x14ac:dyDescent="0.25">
      <c r="M169" t="str">
        <v>Operaciones Unitarias 1</v>
      </c>
    </row>
    <row r="170" spans="13:13" x14ac:dyDescent="0.25">
      <c r="M170" t="str">
        <v>Operaciones Unitarias 2</v>
      </c>
    </row>
    <row r="171" spans="13:13" x14ac:dyDescent="0.25">
      <c r="M171" t="str">
        <v>Organización Industrial</v>
      </c>
    </row>
    <row r="172" spans="13:13" x14ac:dyDescent="0.25">
      <c r="M172" t="str">
        <v>Planificación, Desarrollo y Seguimiento de Proyectos Industriales</v>
      </c>
    </row>
    <row r="173" spans="13:13" x14ac:dyDescent="0.25">
      <c r="M173" t="str">
        <v>Prácticas Profesionales Supervisadas</v>
      </c>
    </row>
    <row r="174" spans="13:13" x14ac:dyDescent="0.25">
      <c r="M174" t="str">
        <v>Probabilidad y Estadística</v>
      </c>
    </row>
    <row r="175" spans="13:13" x14ac:dyDescent="0.25">
      <c r="M175" t="str">
        <v>Procesos Biotecnológicos</v>
      </c>
    </row>
    <row r="176" spans="13:13" x14ac:dyDescent="0.25">
      <c r="M176" t="str">
        <v>Proyecto Final (Int. V)</v>
      </c>
    </row>
    <row r="177" spans="13:15" x14ac:dyDescent="0.25">
      <c r="M177" t="str">
        <v>Química</v>
      </c>
    </row>
    <row r="178" spans="13:15" x14ac:dyDescent="0.25">
      <c r="M178" t="str">
        <v>Química Analítica</v>
      </c>
    </row>
    <row r="179" spans="13:15" x14ac:dyDescent="0.25">
      <c r="M179" t="str">
        <v>Química Aplicada</v>
      </c>
    </row>
    <row r="180" spans="13:15" x14ac:dyDescent="0.25">
      <c r="M180" t="str">
        <v>Química Inorgánica</v>
      </c>
    </row>
    <row r="181" spans="13:15" x14ac:dyDescent="0.25">
      <c r="M181" t="str">
        <v>Química Orgánica</v>
      </c>
    </row>
    <row r="182" spans="13:15" x14ac:dyDescent="0.25">
      <c r="M182" t="str">
        <v>Sistemas de Representación</v>
      </c>
    </row>
    <row r="183" spans="13:15" x14ac:dyDescent="0.25">
      <c r="M183" t="str">
        <v>Tecnología de la Energía Térmica</v>
      </c>
    </row>
    <row r="184" spans="13:15" x14ac:dyDescent="0.25">
      <c r="M184" t="str">
        <v>Tecnología de los Alimentos</v>
      </c>
    </row>
    <row r="185" spans="13:15" x14ac:dyDescent="0.25">
      <c r="M185" t="str">
        <v>Termodinámica</v>
      </c>
    </row>
    <row r="188" spans="13:15" x14ac:dyDescent="0.25">
      <c r="O188" s="16"/>
    </row>
    <row r="189" spans="13:15" x14ac:dyDescent="0.25">
      <c r="O189" s="16"/>
    </row>
    <row r="190" spans="13:15" x14ac:dyDescent="0.25">
      <c r="O190" s="16"/>
    </row>
    <row r="191" spans="13:15" x14ac:dyDescent="0.25">
      <c r="O191" s="16"/>
    </row>
    <row r="206" spans="26:26" x14ac:dyDescent="0.25">
      <c r="Z206"/>
    </row>
    <row r="207" spans="26:26" x14ac:dyDescent="0.25">
      <c r="Z207"/>
    </row>
    <row r="208" spans="26:26" x14ac:dyDescent="0.25">
      <c r="Z208"/>
    </row>
    <row r="209" spans="26:26" x14ac:dyDescent="0.25">
      <c r="Z209"/>
    </row>
    <row r="210" spans="26:26" x14ac:dyDescent="0.25">
      <c r="Z210"/>
    </row>
    <row r="211" spans="26:26" x14ac:dyDescent="0.25">
      <c r="Z211"/>
    </row>
    <row r="212" spans="26:26" x14ac:dyDescent="0.25">
      <c r="Z212"/>
    </row>
    <row r="213" spans="26:26" x14ac:dyDescent="0.25">
      <c r="Z213"/>
    </row>
    <row r="214" spans="26:26" x14ac:dyDescent="0.25">
      <c r="Z214"/>
    </row>
    <row r="215" spans="26:26" x14ac:dyDescent="0.25">
      <c r="Z215"/>
    </row>
    <row r="216" spans="26:26" x14ac:dyDescent="0.25">
      <c r="Z216"/>
    </row>
    <row r="217" spans="26:26" x14ac:dyDescent="0.25">
      <c r="Z217"/>
    </row>
    <row r="218" spans="26:26" x14ac:dyDescent="0.25">
      <c r="Z218"/>
    </row>
    <row r="219" spans="26:26" x14ac:dyDescent="0.25">
      <c r="Z219"/>
    </row>
    <row r="220" spans="26:26" x14ac:dyDescent="0.25">
      <c r="Z220"/>
    </row>
    <row r="221" spans="26:26" x14ac:dyDescent="0.25">
      <c r="Z221"/>
    </row>
    <row r="222" spans="26:26" x14ac:dyDescent="0.25">
      <c r="Z222"/>
    </row>
    <row r="223" spans="26:26" x14ac:dyDescent="0.25">
      <c r="Z223"/>
    </row>
    <row r="224" spans="26:26" x14ac:dyDescent="0.25">
      <c r="Z224"/>
    </row>
    <row r="225" spans="14:26" x14ac:dyDescent="0.25">
      <c r="Z225"/>
    </row>
    <row r="226" spans="14:26" x14ac:dyDescent="0.25">
      <c r="Z226"/>
    </row>
    <row r="227" spans="14:26" x14ac:dyDescent="0.25">
      <c r="Z227"/>
    </row>
    <row r="228" spans="14:26" x14ac:dyDescent="0.25">
      <c r="Z228"/>
    </row>
    <row r="229" spans="14:26" x14ac:dyDescent="0.25">
      <c r="Z229"/>
    </row>
    <row r="230" spans="14:26" x14ac:dyDescent="0.25">
      <c r="Z230"/>
    </row>
    <row r="231" spans="14:26" x14ac:dyDescent="0.25">
      <c r="Z231"/>
    </row>
    <row r="232" spans="14:26" x14ac:dyDescent="0.25">
      <c r="Z232"/>
    </row>
    <row r="233" spans="14:26" x14ac:dyDescent="0.25">
      <c r="Z233"/>
    </row>
    <row r="234" spans="14:26" x14ac:dyDescent="0.25">
      <c r="N234" s="16"/>
      <c r="Z234"/>
    </row>
    <row r="235" spans="14:26" x14ac:dyDescent="0.25">
      <c r="Z235"/>
    </row>
    <row r="236" spans="14:26" x14ac:dyDescent="0.25">
      <c r="Z236"/>
    </row>
    <row r="237" spans="14:26" x14ac:dyDescent="0.25">
      <c r="Z237"/>
    </row>
    <row r="238" spans="14:26" x14ac:dyDescent="0.25">
      <c r="Z238"/>
    </row>
    <row r="239" spans="14:26" x14ac:dyDescent="0.25">
      <c r="Z239"/>
    </row>
    <row r="240" spans="14:26" x14ac:dyDescent="0.25">
      <c r="Z240"/>
    </row>
    <row r="241" spans="13:26" x14ac:dyDescent="0.25">
      <c r="Z241"/>
    </row>
    <row r="242" spans="13:26" x14ac:dyDescent="0.25">
      <c r="Z242"/>
    </row>
    <row r="243" spans="13:26" x14ac:dyDescent="0.25">
      <c r="Z243"/>
    </row>
    <row r="244" spans="13:26" x14ac:dyDescent="0.25">
      <c r="M244" s="188"/>
      <c r="N244" s="188"/>
      <c r="O244" s="188"/>
      <c r="P244" s="188"/>
      <c r="Z244"/>
    </row>
    <row r="245" spans="13:26" x14ac:dyDescent="0.25">
      <c r="Z245"/>
    </row>
    <row r="246" spans="13:26" x14ac:dyDescent="0.25">
      <c r="Z246"/>
    </row>
    <row r="247" spans="13:26" x14ac:dyDescent="0.25">
      <c r="Z247"/>
    </row>
    <row r="248" spans="13:26" x14ac:dyDescent="0.25">
      <c r="Z248"/>
    </row>
    <row r="249" spans="13:26" x14ac:dyDescent="0.25">
      <c r="Z249"/>
    </row>
    <row r="250" spans="13:26" x14ac:dyDescent="0.25">
      <c r="Z250"/>
    </row>
    <row r="251" spans="13:26" x14ac:dyDescent="0.25">
      <c r="Z251"/>
    </row>
    <row r="252" spans="13:26" x14ac:dyDescent="0.25">
      <c r="M252" s="16"/>
      <c r="Z252"/>
    </row>
    <row r="253" spans="13:26" x14ac:dyDescent="0.25">
      <c r="M253" s="16"/>
      <c r="Z253"/>
    </row>
    <row r="254" spans="13:26" x14ac:dyDescent="0.25">
      <c r="M254" s="16"/>
      <c r="Z254"/>
    </row>
    <row r="255" spans="13:26" x14ac:dyDescent="0.25">
      <c r="M255" s="16"/>
      <c r="Z255"/>
    </row>
    <row r="256" spans="13:26" x14ac:dyDescent="0.25">
      <c r="M256" s="16"/>
      <c r="Z256"/>
    </row>
    <row r="257" spans="12:26" x14ac:dyDescent="0.25">
      <c r="M257" s="16"/>
      <c r="Z257"/>
    </row>
    <row r="258" spans="12:26" x14ac:dyDescent="0.25">
      <c r="M258" s="16"/>
      <c r="Z258"/>
    </row>
    <row r="259" spans="12:26" x14ac:dyDescent="0.25">
      <c r="M259" s="16"/>
      <c r="Z259"/>
    </row>
    <row r="260" spans="12:26" x14ac:dyDescent="0.25">
      <c r="M260" s="16"/>
      <c r="Z260"/>
    </row>
    <row r="261" spans="12:26" x14ac:dyDescent="0.25">
      <c r="M261" s="16"/>
      <c r="Z261"/>
    </row>
    <row r="262" spans="12:26" x14ac:dyDescent="0.25">
      <c r="M262" s="16"/>
      <c r="Z262"/>
    </row>
    <row r="263" spans="12:26" x14ac:dyDescent="0.25">
      <c r="M263" s="16"/>
      <c r="Z263"/>
    </row>
    <row r="264" spans="12:26" x14ac:dyDescent="0.25">
      <c r="M264" s="16"/>
      <c r="Z264"/>
    </row>
    <row r="265" spans="12:26" x14ac:dyDescent="0.25">
      <c r="L265" s="16"/>
      <c r="M265" s="16"/>
      <c r="Z265"/>
    </row>
    <row r="266" spans="12:26" x14ac:dyDescent="0.25">
      <c r="L266" s="16"/>
      <c r="M266" s="16"/>
      <c r="Z266"/>
    </row>
    <row r="267" spans="12:26" x14ac:dyDescent="0.25">
      <c r="L267" s="16"/>
      <c r="M267" s="16"/>
      <c r="Z267"/>
    </row>
    <row r="268" spans="12:26" x14ac:dyDescent="0.25">
      <c r="L268" s="16"/>
      <c r="P268" s="16"/>
      <c r="Z268"/>
    </row>
    <row r="269" spans="12:26" x14ac:dyDescent="0.25">
      <c r="L269" s="16"/>
      <c r="P269" s="16"/>
      <c r="Z269"/>
    </row>
    <row r="270" spans="12:26" x14ac:dyDescent="0.25">
      <c r="P270" s="16"/>
      <c r="Z270"/>
    </row>
    <row r="271" spans="12:26" x14ac:dyDescent="0.25">
      <c r="P271" s="16"/>
      <c r="Z271"/>
    </row>
    <row r="272" spans="12:26" x14ac:dyDescent="0.25">
      <c r="P272" s="16"/>
      <c r="Z272"/>
    </row>
    <row r="273" spans="16:26" x14ac:dyDescent="0.25">
      <c r="P273" s="16"/>
      <c r="Z273"/>
    </row>
    <row r="274" spans="16:26" x14ac:dyDescent="0.25">
      <c r="P274" s="16"/>
      <c r="Z274"/>
    </row>
    <row r="275" spans="16:26" x14ac:dyDescent="0.25">
      <c r="P275" s="16"/>
      <c r="Z275"/>
    </row>
    <row r="276" spans="16:26" x14ac:dyDescent="0.25">
      <c r="P276" s="16"/>
      <c r="Z276"/>
    </row>
    <row r="277" spans="16:26" x14ac:dyDescent="0.25">
      <c r="P277" s="16"/>
      <c r="Z277"/>
    </row>
    <row r="278" spans="16:26" x14ac:dyDescent="0.25">
      <c r="P278" s="16"/>
      <c r="Z278"/>
    </row>
    <row r="279" spans="16:26" x14ac:dyDescent="0.25">
      <c r="P279" s="16"/>
      <c r="Z279"/>
    </row>
    <row r="280" spans="16:26" x14ac:dyDescent="0.25">
      <c r="P280" s="16"/>
      <c r="Z280"/>
    </row>
    <row r="281" spans="16:26" x14ac:dyDescent="0.25">
      <c r="P281" s="16"/>
      <c r="Z281"/>
    </row>
    <row r="282" spans="16:26" x14ac:dyDescent="0.25">
      <c r="P282" s="16"/>
      <c r="Z282"/>
    </row>
    <row r="283" spans="16:26" x14ac:dyDescent="0.25">
      <c r="P283" s="16"/>
      <c r="Z283"/>
    </row>
    <row r="284" spans="16:26" x14ac:dyDescent="0.25">
      <c r="P284" s="16"/>
      <c r="Z284"/>
    </row>
    <row r="285" spans="16:26" x14ac:dyDescent="0.25">
      <c r="P285" s="16"/>
      <c r="Z285"/>
    </row>
    <row r="286" spans="16:26" x14ac:dyDescent="0.25">
      <c r="P286" s="16"/>
      <c r="Z286"/>
    </row>
    <row r="287" spans="16:26" x14ac:dyDescent="0.25">
      <c r="P287" s="16"/>
      <c r="Z287"/>
    </row>
    <row r="288" spans="16:26" x14ac:dyDescent="0.25">
      <c r="P288" s="16"/>
      <c r="Z288"/>
    </row>
    <row r="289" spans="16:26" x14ac:dyDescent="0.25">
      <c r="P289" s="16"/>
      <c r="Z289"/>
    </row>
    <row r="290" spans="16:26" x14ac:dyDescent="0.25">
      <c r="P290" s="16"/>
      <c r="Z290"/>
    </row>
    <row r="291" spans="16:26" x14ac:dyDescent="0.25">
      <c r="P291" s="16"/>
      <c r="Z291"/>
    </row>
    <row r="292" spans="16:26" x14ac:dyDescent="0.25">
      <c r="Z292"/>
    </row>
    <row r="293" spans="16:26" x14ac:dyDescent="0.25">
      <c r="Z293"/>
    </row>
    <row r="294" spans="16:26" x14ac:dyDescent="0.25">
      <c r="Z294"/>
    </row>
    <row r="295" spans="16:26" x14ac:dyDescent="0.25">
      <c r="Z295"/>
    </row>
    <row r="296" spans="16:26" x14ac:dyDescent="0.25">
      <c r="Z296"/>
    </row>
    <row r="297" spans="16:26" x14ac:dyDescent="0.25">
      <c r="Z297"/>
    </row>
    <row r="298" spans="16:26" x14ac:dyDescent="0.25">
      <c r="Z298"/>
    </row>
    <row r="299" spans="16:26" x14ac:dyDescent="0.25">
      <c r="Z299"/>
    </row>
    <row r="300" spans="16:26" x14ac:dyDescent="0.25">
      <c r="Z300"/>
    </row>
    <row r="301" spans="16:26" x14ac:dyDescent="0.25">
      <c r="Z301"/>
    </row>
    <row r="302" spans="16:26" x14ac:dyDescent="0.25">
      <c r="Z302"/>
    </row>
    <row r="303" spans="16:26" x14ac:dyDescent="0.25">
      <c r="Z303"/>
    </row>
    <row r="304" spans="16:26" x14ac:dyDescent="0.25">
      <c r="Z304"/>
    </row>
    <row r="305" spans="26:26" x14ac:dyDescent="0.25">
      <c r="Z305"/>
    </row>
    <row r="306" spans="26:26" x14ac:dyDescent="0.25">
      <c r="Z306"/>
    </row>
    <row r="307" spans="26:26" x14ac:dyDescent="0.25">
      <c r="Z307"/>
    </row>
    <row r="308" spans="26:26" x14ac:dyDescent="0.25">
      <c r="Z308"/>
    </row>
    <row r="309" spans="26:26" x14ac:dyDescent="0.25">
      <c r="Z309"/>
    </row>
  </sheetData>
  <sheetProtection sort="0" autoFilter="0"/>
  <mergeCells count="17">
    <mergeCell ref="I24:J26"/>
    <mergeCell ref="G9:H9"/>
    <mergeCell ref="G6:H6"/>
    <mergeCell ref="B31:C31"/>
    <mergeCell ref="B12:E14"/>
    <mergeCell ref="I16:J17"/>
    <mergeCell ref="D16:E17"/>
    <mergeCell ref="D28:E29"/>
    <mergeCell ref="G12:J14"/>
    <mergeCell ref="B24:E26"/>
    <mergeCell ref="G24:H26"/>
    <mergeCell ref="B2:E4"/>
    <mergeCell ref="G2:J4"/>
    <mergeCell ref="I9:J9"/>
    <mergeCell ref="I6:J6"/>
    <mergeCell ref="I8:J8"/>
    <mergeCell ref="G8:H8"/>
  </mergeCells>
  <phoneticPr fontId="8" type="noConversion"/>
  <conditionalFormatting sqref="D16">
    <cfRule type="colorScale" priority="17">
      <colorScale>
        <cfvo type="num" val="0"/>
        <cfvo type="num" val="13"/>
        <cfvo type="num" val="27"/>
        <color theme="9"/>
        <color rgb="FFFFEB84"/>
        <color rgb="FFF30B11"/>
      </colorScale>
    </cfRule>
  </conditionalFormatting>
  <conditionalFormatting sqref="I16">
    <cfRule type="colorScale" priority="19">
      <colorScale>
        <cfvo type="num" val="0"/>
        <cfvo type="num" val="20"/>
        <cfvo type="num" val="41"/>
        <color theme="9"/>
        <color rgb="FFFFEB84"/>
        <color rgb="FFF30B11"/>
      </colorScale>
    </cfRule>
  </conditionalFormatting>
  <conditionalFormatting sqref="I6">
    <cfRule type="colorScale" priority="14">
      <colorScale>
        <cfvo type="num" val="0"/>
        <cfvo type="num" val="12"/>
        <cfvo type="num" val="24"/>
        <color rgb="FFF30B11"/>
        <color rgb="FFFFEB84"/>
        <color theme="9"/>
      </colorScale>
    </cfRule>
  </conditionalFormatting>
  <conditionalFormatting sqref="B33:B35 B20:B22 G20:G22">
    <cfRule type="iconSet" priority="20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1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30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61" xr:uid="{42AC6862-DDC3-446A-86A6-343ABF984E2C}"/>
    <dataValidation allowBlank="1" showInputMessage="1" showErrorMessage="1" promptTitle="Título" prompt="Se mostrará el cargo o rol del empleado en la forma." sqref="D61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61" xr:uid="{1FBE312D-2A67-423B-8A9B-2A25BF4416F1}"/>
    <dataValidation allowBlank="1" showInputMessage="1" showErrorMessage="1" promptTitle="Tipo de rol" prompt="Elija la función que mejor represente al empleado. Esto cambia el color de la forma." sqref="F61" xr:uid="{D1A2C0C7-7C46-4F1F-BD66-12E683D1259A}"/>
    <dataValidation type="list" allowBlank="1" showInputMessage="1" sqref="F60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60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2025-04-13T03:33:14Z</dcterms:modified>
</cp:coreProperties>
</file>