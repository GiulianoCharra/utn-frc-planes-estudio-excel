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Facultad\Excel\"/>
    </mc:Choice>
  </mc:AlternateContent>
  <xr:revisionPtr revIDLastSave="0" documentId="13_ncr:1_{CCC6C309-C7FA-4DF5-A3E5-2ED4DCDB7C2A}" xr6:coauthVersionLast="47" xr6:coauthVersionMax="47" xr10:uidLastSave="{00000000-0000-0000-0000-000000000000}"/>
  <bookViews>
    <workbookView showSheetTabs="0" xWindow="-120" yWindow="-120" windowWidth="38640" windowHeight="15990" xr2:uid="{73D44509-513D-46B0-BA06-915A2540095E}"/>
  </bookViews>
  <sheets>
    <sheet name="Plan de Estudio" sheetId="1" r:id="rId1"/>
    <sheet name="Control" sheetId="2" state="hidden" r:id="rId2"/>
  </sheets>
  <functionGroups builtInGroupCount="19"/>
  <definedNames>
    <definedName name="_anio_ingreso">'Plan de Estudio'!$Q$4</definedName>
    <definedName name="_cmb_lista_materias">Control!$M$141</definedName>
    <definedName name="_excepcion">'Plan de Estudio'!$J$9</definedName>
    <definedName name="_Tabla_Materias">Tabla1[]</definedName>
    <definedName name="_tabla_tipo_materia">Tabla3[Tipo]</definedName>
    <definedName name="_xlpm.anioIngreso" hidden="1" xlm="1">#NAME?</definedName>
    <definedName name="_xlpm.apr_1" hidden="1" xlm="1">#NAME?</definedName>
    <definedName name="_xlpm.apr_2" hidden="1" xlm="1">#NAME?</definedName>
    <definedName name="_xlpm.apr_3" hidden="1" xlm="1">#NAME?</definedName>
    <definedName name="_xlpm.apr_4" hidden="1" xlm="1">#NAME?</definedName>
    <definedName name="_xlpm.codigoMateria" hidden="1" xlm="1">#NAME?</definedName>
    <definedName name="_xlpm.columnaBase" hidden="1" xlm="1">#NAME?</definedName>
    <definedName name="_xlpm.columnaRelativa" hidden="1" xlm="1">#NAME?</definedName>
    <definedName name="_xlpm.cumpleRequisitos" hidden="1" xlm="1">#NAME?</definedName>
    <definedName name="_xlpm.EsRequisitoCumplido" hidden="1" xlm="1">#NAME?</definedName>
    <definedName name="_xlpm.estado" hidden="1" xlm="1">#NAME?</definedName>
    <definedName name="_xlpm.excepcion" hidden="1" xlm="1">#NAME?</definedName>
    <definedName name="_xlpm.filterCriteria" hidden="1" xlm="1">#NAME?</definedName>
    <definedName name="_xlpm.filteredRange" hidden="1" xlm="1">#NAME?</definedName>
    <definedName name="_xlpm.iconoEncontrado" hidden="1" xlm="1">#NAME?</definedName>
    <definedName name="_xlpm.num" hidden="1" xlm="1">#NAME?</definedName>
    <definedName name="_xlpm.pepe" hidden="1" xlm="1">#NAME?</definedName>
    <definedName name="_xlpm.reg" hidden="1" xlm="1">#NAME?</definedName>
    <definedName name="_xlpm.reg_" hidden="1" xlm="1">#NAME?</definedName>
    <definedName name="_xlpm.reg_1" hidden="1" xlm="1">#NAME?</definedName>
    <definedName name="_xlpm.reg_2" hidden="1" xlm="1">#NAME?</definedName>
    <definedName name="_xlpm.reg_3" hidden="1" xlm="1">#NAME?</definedName>
    <definedName name="_xlpm.reg_4" hidden="1" xlm="1">#NAME?</definedName>
    <definedName name="_xlpm.resultado" hidden="1" xlm="1">#NAME?</definedName>
    <definedName name="_xlpm.tabla" hidden="1" xlm="1">#NAME?</definedName>
    <definedName name="_xlpm.tablaCorrelativas" hidden="1" xlm="1">#NAME?</definedName>
    <definedName name="_xlpm.x" hidden="1" xlm="1">#NAME?</definedName>
    <definedName name="Modalidades">Tabla2[Modalidades]</definedName>
    <definedName name="SegmentaciónDeDatos_Cursar">#N/A</definedName>
    <definedName name="SegmentaciónDeDatos_Electiva">#N/A</definedName>
    <definedName name="SegmentaciónDeDatos_Estado">#N/A</definedName>
    <definedName name="SegmentaciónDeDatos_Modalidad">#N/A</definedName>
    <definedName name="SegmentaciónDeDatos_NIVEL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  <x14:slicerCache r:id="rId4"/>
        <x14:slicerCache r:id="rId5"/>
        <x14:slicerCache r:id="rId6"/>
        <x14:slicerCache r:id="rId7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5" i="1" l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V12" i="1"/>
  <c r="AB12" i="1"/>
  <c r="AA12" i="1"/>
  <c r="Z12" i="1"/>
  <c r="Y12" i="1"/>
  <c r="X12" i="1"/>
  <c r="W12" i="1"/>
  <c r="U12" i="1"/>
  <c r="T12" i="1"/>
  <c r="S12" i="1"/>
  <c r="R12" i="1"/>
  <c r="Q12" i="1"/>
  <c r="P12" i="1"/>
  <c r="O12" i="1"/>
  <c r="N12" i="1"/>
  <c r="AC12" i="1"/>
  <c r="F12" i="1"/>
  <c r="F13" i="1"/>
  <c r="AC13" i="1"/>
  <c r="F14" i="1"/>
  <c r="AC14" i="1"/>
  <c r="F15" i="1"/>
  <c r="AC15" i="1"/>
  <c r="F16" i="1"/>
  <c r="AC16" i="1"/>
  <c r="F17" i="1"/>
  <c r="AC17" i="1"/>
  <c r="F18" i="1"/>
  <c r="AC18" i="1"/>
  <c r="F19" i="1"/>
  <c r="AC19" i="1"/>
  <c r="F20" i="1"/>
  <c r="AC20" i="1"/>
  <c r="F21" i="1"/>
  <c r="AC21" i="1"/>
  <c r="F22" i="1"/>
  <c r="AC22" i="1"/>
  <c r="F23" i="1"/>
  <c r="AC23" i="1"/>
  <c r="F24" i="1"/>
  <c r="AC24" i="1"/>
  <c r="F25" i="1"/>
  <c r="AC25" i="1"/>
  <c r="F26" i="1"/>
  <c r="AC26" i="1"/>
  <c r="F27" i="1"/>
  <c r="AC27" i="1"/>
  <c r="F28" i="1"/>
  <c r="AC28" i="1"/>
  <c r="F29" i="1"/>
  <c r="AC29" i="1"/>
  <c r="F30" i="1"/>
  <c r="AC30" i="1"/>
  <c r="F31" i="1"/>
  <c r="AC31" i="1"/>
  <c r="F32" i="1"/>
  <c r="AC32" i="1"/>
  <c r="F33" i="1"/>
  <c r="AC33" i="1"/>
  <c r="F34" i="1"/>
  <c r="AC34" i="1"/>
  <c r="F35" i="1"/>
  <c r="AC35" i="1"/>
  <c r="F36" i="1"/>
  <c r="AC36" i="1"/>
  <c r="F37" i="1"/>
  <c r="AC37" i="1"/>
  <c r="F38" i="1"/>
  <c r="AC38" i="1"/>
  <c r="F39" i="1"/>
  <c r="AC39" i="1"/>
  <c r="F40" i="1"/>
  <c r="AC40" i="1"/>
  <c r="F41" i="1"/>
  <c r="AC41" i="1"/>
  <c r="F42" i="1"/>
  <c r="AC42" i="1"/>
  <c r="F43" i="1"/>
  <c r="AC43" i="1"/>
  <c r="F44" i="1"/>
  <c r="AC44" i="1"/>
  <c r="F45" i="1"/>
  <c r="AC45" i="1"/>
  <c r="F46" i="1"/>
  <c r="AC46" i="1"/>
  <c r="F47" i="1"/>
  <c r="AC47" i="1"/>
  <c r="F48" i="1"/>
  <c r="AC48" i="1"/>
  <c r="F49" i="1"/>
  <c r="AC49" i="1"/>
  <c r="F50" i="1"/>
  <c r="AC50" i="1"/>
  <c r="F51" i="1"/>
  <c r="AC51" i="1"/>
  <c r="F52" i="1"/>
  <c r="AC52" i="1"/>
  <c r="F53" i="1"/>
  <c r="AC53" i="1"/>
  <c r="F54" i="1"/>
  <c r="AC54" i="1"/>
  <c r="F56" i="1"/>
  <c r="AC56" i="1"/>
  <c r="F57" i="1"/>
  <c r="AC57" i="1"/>
  <c r="F58" i="1"/>
  <c r="AC58" i="1"/>
  <c r="F59" i="1"/>
  <c r="AC59" i="1"/>
  <c r="F60" i="1"/>
  <c r="AC60" i="1"/>
  <c r="F61" i="1"/>
  <c r="AC61" i="1"/>
  <c r="F62" i="1"/>
  <c r="AC62" i="1"/>
  <c r="F63" i="1"/>
  <c r="AC63" i="1"/>
  <c r="F64" i="1"/>
  <c r="AC64" i="1"/>
  <c r="F65" i="1"/>
  <c r="AC65" i="1"/>
  <c r="F66" i="1"/>
  <c r="AC66" i="1"/>
  <c r="F67" i="1"/>
  <c r="AC67" i="1"/>
  <c r="I24" i="2"/>
  <c r="D6" i="2"/>
  <c r="G9" i="1"/>
  <c r="H9" i="1"/>
  <c r="I19" i="2"/>
  <c r="N8" i="2"/>
  <c r="AD18" i="1" l="1"/>
  <c r="AD26" i="1"/>
  <c r="AD34" i="1"/>
  <c r="AD42" i="1"/>
  <c r="AD50" i="1"/>
  <c r="AD59" i="1"/>
  <c r="AD67" i="1"/>
  <c r="AD25" i="1"/>
  <c r="AD41" i="1"/>
  <c r="AD49" i="1"/>
  <c r="AD58" i="1"/>
  <c r="AD66" i="1"/>
  <c r="AD16" i="1"/>
  <c r="AD24" i="1"/>
  <c r="AD32" i="1"/>
  <c r="AD40" i="1"/>
  <c r="AD48" i="1"/>
  <c r="AD57" i="1"/>
  <c r="AD65" i="1"/>
  <c r="AD15" i="1"/>
  <c r="AD54" i="1"/>
  <c r="AD13" i="1"/>
  <c r="AD37" i="1"/>
  <c r="AD45" i="1"/>
  <c r="AD53" i="1"/>
  <c r="AD62" i="1"/>
  <c r="AD17" i="1"/>
  <c r="AD31" i="1"/>
  <c r="AD56" i="1"/>
  <c r="AD64" i="1"/>
  <c r="AD14" i="1"/>
  <c r="AD30" i="1"/>
  <c r="AD38" i="1"/>
  <c r="AD46" i="1"/>
  <c r="AD63" i="1"/>
  <c r="AD21" i="1"/>
  <c r="AD29" i="1"/>
  <c r="AD12" i="1"/>
  <c r="AD20" i="1"/>
  <c r="AD28" i="1"/>
  <c r="AD36" i="1"/>
  <c r="AD44" i="1"/>
  <c r="AD52" i="1"/>
  <c r="AD61" i="1"/>
  <c r="AD55" i="1"/>
  <c r="AD33" i="1"/>
  <c r="AD23" i="1"/>
  <c r="AD39" i="1"/>
  <c r="AD47" i="1"/>
  <c r="AD22" i="1"/>
  <c r="AD19" i="1"/>
  <c r="AD27" i="1"/>
  <c r="AD35" i="1"/>
  <c r="AD43" i="1"/>
  <c r="AD51" i="1"/>
  <c r="AD60" i="1"/>
  <c r="I7" i="2"/>
  <c r="J55" i="1"/>
  <c r="J65" i="1"/>
  <c r="J61" i="1"/>
  <c r="J57" i="1"/>
  <c r="J52" i="1"/>
  <c r="J48" i="1"/>
  <c r="J44" i="1"/>
  <c r="J40" i="1"/>
  <c r="J36" i="1"/>
  <c r="J32" i="1"/>
  <c r="J28" i="1"/>
  <c r="J24" i="1"/>
  <c r="J20" i="1"/>
  <c r="J16" i="1"/>
  <c r="J67" i="1"/>
  <c r="J50" i="1"/>
  <c r="J46" i="1"/>
  <c r="J34" i="1"/>
  <c r="J30" i="1"/>
  <c r="J18" i="1"/>
  <c r="J59" i="1"/>
  <c r="J54" i="1"/>
  <c r="J42" i="1"/>
  <c r="J38" i="1"/>
  <c r="J26" i="1"/>
  <c r="J22" i="1"/>
  <c r="J14" i="1"/>
  <c r="J63" i="1"/>
  <c r="J66" i="1"/>
  <c r="J62" i="1"/>
  <c r="J53" i="1"/>
  <c r="J45" i="1"/>
  <c r="J33" i="1"/>
  <c r="J29" i="1"/>
  <c r="J25" i="1"/>
  <c r="J21" i="1"/>
  <c r="J17" i="1"/>
  <c r="J13" i="1"/>
  <c r="J58" i="1"/>
  <c r="J49" i="1"/>
  <c r="J41" i="1"/>
  <c r="J37" i="1"/>
  <c r="J12" i="1"/>
  <c r="J60" i="1"/>
  <c r="J51" i="1"/>
  <c r="J43" i="1"/>
  <c r="J31" i="1"/>
  <c r="J27" i="1"/>
  <c r="J15" i="1"/>
  <c r="J64" i="1"/>
  <c r="J56" i="1"/>
  <c r="J47" i="1"/>
  <c r="J39" i="1"/>
  <c r="J35" i="1"/>
  <c r="J23" i="1"/>
  <c r="J19" i="1"/>
  <c r="M141" i="2" a="1"/>
  <c r="M141" i="2" s="1"/>
  <c r="I8" i="2"/>
  <c r="I16" i="2"/>
  <c r="D8" i="2"/>
  <c r="E8" i="2" s="1"/>
  <c r="D9" i="2"/>
  <c r="E9" i="2" s="1"/>
  <c r="I22" i="2"/>
  <c r="J22" i="2" s="1"/>
  <c r="I21" i="2"/>
  <c r="J21" i="2" s="1"/>
  <c r="I10" i="2" l="1"/>
  <c r="D7" i="2"/>
  <c r="E7" i="2" s="1"/>
  <c r="I20" i="2"/>
  <c r="J20" i="2" s="1"/>
  <c r="D2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Giuliano Benicio Charra Marquez</author>
  </authors>
  <commentList>
    <comment ref="G5" authorId="0" shapeId="0" xr:uid="{E17A1066-9F68-444A-8840-8563E64F7382}">
      <text>
        <r>
          <rPr>
            <sz val="11"/>
            <color indexed="81"/>
            <rFont val="Tahoma"/>
            <family val="2"/>
          </rPr>
          <t xml:space="preserve">Las materias dependientes solo se mostrarán si la materia ha sido </t>
        </r>
        <r>
          <rPr>
            <b/>
            <sz val="11"/>
            <color indexed="81"/>
            <rFont val="Tahoma"/>
            <family val="2"/>
          </rPr>
          <t>seleccionada</t>
        </r>
        <r>
          <rPr>
            <sz val="11"/>
            <color indexed="81"/>
            <rFont val="Tahoma"/>
            <family val="2"/>
          </rPr>
          <t xml:space="preserve"> o su nombre ha sido </t>
        </r>
        <r>
          <rPr>
            <b/>
            <sz val="11"/>
            <color indexed="81"/>
            <rFont val="Tahoma"/>
            <family val="2"/>
          </rPr>
          <t>ingresado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manualmente.</t>
        </r>
      </text>
    </comment>
    <comment ref="G7" authorId="0" shapeId="0" xr:uid="{6FB26CE6-5F09-4617-A302-AFDBA124E222}">
      <text>
        <r>
          <rPr>
            <sz val="11"/>
            <color indexed="81"/>
            <rFont val="Tahoma"/>
            <family val="2"/>
          </rPr>
          <t xml:space="preserve">La </t>
        </r>
        <r>
          <rPr>
            <b/>
            <sz val="11"/>
            <color indexed="81"/>
            <rFont val="Tahoma"/>
            <family val="2"/>
          </rPr>
          <t>excepción de 30</t>
        </r>
        <r>
          <rPr>
            <sz val="11"/>
            <color indexed="81"/>
            <rFont val="Tahoma"/>
            <family val="2"/>
          </rPr>
          <t xml:space="preserve"> hs permite cursar materias sin considerar sus correlativas, siempre que la </t>
        </r>
        <r>
          <rPr>
            <b/>
            <sz val="11"/>
            <color indexed="81"/>
            <rFont val="Tahoma"/>
            <family val="2"/>
          </rPr>
          <t>suma</t>
        </r>
        <r>
          <rPr>
            <sz val="11"/>
            <color indexed="81"/>
            <rFont val="Tahoma"/>
            <family val="2"/>
          </rPr>
          <t xml:space="preserve"> de la </t>
        </r>
        <r>
          <rPr>
            <b/>
            <sz val="11"/>
            <color indexed="81"/>
            <rFont val="Tahoma"/>
            <family val="2"/>
          </rPr>
          <t>carga horaria semanal</t>
        </r>
        <r>
          <rPr>
            <sz val="11"/>
            <color indexed="81"/>
            <rFont val="Tahoma"/>
            <family val="2"/>
          </rPr>
          <t xml:space="preserve"> de las materias pendientes no supere la carga horaria total de quinto año.
</t>
        </r>
        <r>
          <rPr>
            <sz val="11"/>
            <color indexed="81"/>
            <rFont val="Tahoma"/>
            <family val="2"/>
          </rPr>
          <t xml:space="preserve">
Este cálculo es solo un estimado basado en la carga horaria actual y </t>
        </r>
        <r>
          <rPr>
            <b/>
            <sz val="11"/>
            <color indexed="81"/>
            <rFont val="Tahoma"/>
            <family val="2"/>
          </rPr>
          <t>NO garantiza</t>
        </r>
        <r>
          <rPr>
            <sz val="11"/>
            <color indexed="81"/>
            <rFont val="Tahoma"/>
            <family val="2"/>
          </rPr>
          <t xml:space="preserve"> la aprobación de la solicitud. Los horarios y requisitos pueden variar, por lo que la decisión final dependerá exclusivamente de la facultad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<sst xmlns="http://schemas.openxmlformats.org/spreadsheetml/2006/main" count="1255" uniqueCount="160">
  <si>
    <t>Numero</t>
  </si>
  <si>
    <t>Materia</t>
  </si>
  <si>
    <t>Modalidad</t>
  </si>
  <si>
    <t>Regular</t>
  </si>
  <si>
    <t>Para Cursar/Rendir</t>
  </si>
  <si>
    <t>A</t>
  </si>
  <si>
    <t>Leyenda</t>
  </si>
  <si>
    <t>CC</t>
  </si>
  <si>
    <t>Contra Cuatrimestre</t>
  </si>
  <si>
    <t>Anual</t>
  </si>
  <si>
    <t>Primer Cuatrimestre</t>
  </si>
  <si>
    <t>Segundo Cuatrimestre</t>
  </si>
  <si>
    <t>Aprobadas</t>
  </si>
  <si>
    <t>Regulares</t>
  </si>
  <si>
    <t>Aprobado</t>
  </si>
  <si>
    <t>1C</t>
  </si>
  <si>
    <t>2C</t>
  </si>
  <si>
    <t>1C - CC</t>
  </si>
  <si>
    <t>1C - 2C</t>
  </si>
  <si>
    <t>2C - CC</t>
  </si>
  <si>
    <t>Modalidades</t>
  </si>
  <si>
    <t>--</t>
  </si>
  <si>
    <t>Análisis Matemático 2</t>
  </si>
  <si>
    <t>Física 2</t>
  </si>
  <si>
    <t>Economía</t>
  </si>
  <si>
    <t>Legislación</t>
  </si>
  <si>
    <t>Análisis Matemático 1</t>
  </si>
  <si>
    <t>Algebra y Geometría Analítica</t>
  </si>
  <si>
    <t>Física 1</t>
  </si>
  <si>
    <t>Ingeniería y Sociedad</t>
  </si>
  <si>
    <t xml:space="preserve"> </t>
  </si>
  <si>
    <t>E-1</t>
  </si>
  <si>
    <t>E-2</t>
  </si>
  <si>
    <t>E-3</t>
  </si>
  <si>
    <t>E-4</t>
  </si>
  <si>
    <t>E-5</t>
  </si>
  <si>
    <t>E-6</t>
  </si>
  <si>
    <t>E-7</t>
  </si>
  <si>
    <t>E-8</t>
  </si>
  <si>
    <t>E-9</t>
  </si>
  <si>
    <t>E-10</t>
  </si>
  <si>
    <t>E-11</t>
  </si>
  <si>
    <t>E-12</t>
  </si>
  <si>
    <t>E-13</t>
  </si>
  <si>
    <t>E-14</t>
  </si>
  <si>
    <t>E-15</t>
  </si>
  <si>
    <t>Nota</t>
  </si>
  <si>
    <t>Promedio</t>
  </si>
  <si>
    <t>Autor</t>
  </si>
  <si>
    <t>Puntos</t>
  </si>
  <si>
    <t>Analista</t>
  </si>
  <si>
    <t>Ingeniero</t>
  </si>
  <si>
    <t>Materias</t>
  </si>
  <si>
    <t>Creditos</t>
  </si>
  <si>
    <t>Regulaes</t>
  </si>
  <si>
    <t>R2</t>
  </si>
  <si>
    <t>R3</t>
  </si>
  <si>
    <t>R4</t>
  </si>
  <si>
    <t>A2</t>
  </si>
  <si>
    <t>A3</t>
  </si>
  <si>
    <t>A4</t>
  </si>
  <si>
    <t>R1</t>
  </si>
  <si>
    <t>A1</t>
  </si>
  <si>
    <t>Materias Faltantes Para Ingeniero</t>
  </si>
  <si>
    <t>Materias que podes cursar</t>
  </si>
  <si>
    <t>Total</t>
  </si>
  <si>
    <t xml:space="preserve">Total Materias </t>
  </si>
  <si>
    <t>Giuliano Charra Marquez</t>
  </si>
  <si>
    <t>Quinto</t>
  </si>
  <si>
    <t>Nivel</t>
  </si>
  <si>
    <t>Codigo</t>
  </si>
  <si>
    <t>Excepcion 30hs</t>
  </si>
  <si>
    <t>Faltan Cursar</t>
  </si>
  <si>
    <t>NO</t>
  </si>
  <si>
    <t>SI</t>
  </si>
  <si>
    <t>Cursar</t>
  </si>
  <si>
    <t>Icono</t>
  </si>
  <si>
    <t>Tipo</t>
  </si>
  <si>
    <t>Electiva</t>
  </si>
  <si>
    <t>Estado</t>
  </si>
  <si>
    <t>Datos listado materias desplegable</t>
  </si>
  <si>
    <t>HALLAR</t>
  </si>
  <si>
    <t>Carga Horaria</t>
  </si>
  <si>
    <t>FILTRAR</t>
  </si>
  <si>
    <t>1° Primero</t>
  </si>
  <si>
    <t>2° Segundo</t>
  </si>
  <si>
    <t>3° Tercero</t>
  </si>
  <si>
    <t>4° Cuarto</t>
  </si>
  <si>
    <t>5° Quinto</t>
  </si>
  <si>
    <t>Numero Materia Correlativas</t>
  </si>
  <si>
    <t>Numero Materia Dependientes</t>
  </si>
  <si>
    <t>Mostrar Correlativas</t>
  </si>
  <si>
    <t>Carga Horaria Faltante</t>
  </si>
  <si>
    <t>¿Puede Solicitar Excepción?</t>
  </si>
  <si>
    <t>Tramite Excepción Aceptada</t>
  </si>
  <si>
    <t>Año de Ingreso</t>
  </si>
  <si>
    <t>&lt;2023</t>
  </si>
  <si>
    <t>&gt;=2023</t>
  </si>
  <si>
    <t>Tabla de correlativas Ingresantes antes de 2023</t>
  </si>
  <si>
    <t>Tabla de correlativas Ingresantes a partir de 2023</t>
  </si>
  <si>
    <t>Libre/Falta Cursar</t>
  </si>
  <si>
    <t>Tabla de correlativas Gemeral</t>
  </si>
  <si>
    <t>ORDEN</t>
  </si>
  <si>
    <t>R5</t>
  </si>
  <si>
    <t>R6</t>
  </si>
  <si>
    <t>A5</t>
  </si>
  <si>
    <t>A6</t>
  </si>
  <si>
    <t>A7</t>
  </si>
  <si>
    <t>A8</t>
  </si>
  <si>
    <t>A9</t>
  </si>
  <si>
    <t>Química General</t>
  </si>
  <si>
    <t>Sistemas de Representación</t>
  </si>
  <si>
    <t>Fundamentos de Informática</t>
  </si>
  <si>
    <t>Materiales No Metálicos</t>
  </si>
  <si>
    <t>Materiales Metálicos</t>
  </si>
  <si>
    <t>Ingeniería Ambiental y Seguridad Industrial</t>
  </si>
  <si>
    <t>Termodinámica</t>
  </si>
  <si>
    <t>Mecánica Racional</t>
  </si>
  <si>
    <t>Mediciones y Ensayos</t>
  </si>
  <si>
    <t>Diseño Mecánico</t>
  </si>
  <si>
    <t>Cálculo Avanzado</t>
  </si>
  <si>
    <t>Probabilidad y Estadística</t>
  </si>
  <si>
    <t>Elementos de Máquinas (Int)</t>
  </si>
  <si>
    <t>Tecnología del Calor</t>
  </si>
  <si>
    <t>Metrología e Ingeniería de Calidad</t>
  </si>
  <si>
    <t>Mecánica de los Fluidos</t>
  </si>
  <si>
    <t>Electrotecnia y Máquinas Eléctricas</t>
  </si>
  <si>
    <t>Electrónica y Sistemas de Control</t>
  </si>
  <si>
    <t>Tecnología de Fabricación</t>
  </si>
  <si>
    <t>Mantenimiento</t>
  </si>
  <si>
    <t>Máquinas Alternativas y Turbomáquinas</t>
  </si>
  <si>
    <t>Instalaciones Industriales</t>
  </si>
  <si>
    <t>Organización Industrial</t>
  </si>
  <si>
    <t>Practica Profecional Supervisada</t>
  </si>
  <si>
    <t>Proyecto Final (Int)</t>
  </si>
  <si>
    <t>Diseño de Instalaciones Térmicas</t>
  </si>
  <si>
    <t>Tecnología Mecánica</t>
  </si>
  <si>
    <t>Sistemas de Representación Avanzada</t>
  </si>
  <si>
    <t>Fundamentos de Optimización de Ingeniería</t>
  </si>
  <si>
    <t>Introducción al Método de Elementos Finitos</t>
  </si>
  <si>
    <t>Gestión de Proyectos*</t>
  </si>
  <si>
    <t>Gestión Ambiental*</t>
  </si>
  <si>
    <t>Gestión Emprendedora*</t>
  </si>
  <si>
    <t>Logística*</t>
  </si>
  <si>
    <t>Sistemas Neumáticos e Hidráulicos</t>
  </si>
  <si>
    <t>Segundo</t>
  </si>
  <si>
    <t>Total (10)</t>
  </si>
  <si>
    <t>Ingeniería Mecánica 1 (Int)</t>
  </si>
  <si>
    <t>Estabilidad 1</t>
  </si>
  <si>
    <t>Ingeniería Mecánica 2 (Int)</t>
  </si>
  <si>
    <t>Inglés 1</t>
  </si>
  <si>
    <t>Introducción a la Programación Computacional en Ingeniería</t>
  </si>
  <si>
    <t>Estabilidad 2</t>
  </si>
  <si>
    <t>Ingeniería Mecánica 3 (Int)</t>
  </si>
  <si>
    <t>Inglés 2</t>
  </si>
  <si>
    <t>Automotores 1</t>
  </si>
  <si>
    <t>Análisis Estructural Estático Mediante el Método de Elementos Finitos</t>
  </si>
  <si>
    <t>Introducción a la Programación y Operación de Máquinas CNC</t>
  </si>
  <si>
    <t>Automotores 2</t>
  </si>
  <si>
    <t>Ing. Mecanica Plan de Estudio UTN FRC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</si>
</sst>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2"/>
      <color theme="0" tint="-4.9989318521683403E-2"/>
      <name val="Calibri"/>
      <family val="2"/>
      <scheme val="minor"/>
    </font>
    <font>
      <sz val="18"/>
      <color theme="0" tint="-4.9989318521683403E-2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b/>
      <sz val="16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theme="8"/>
      </patternFill>
    </fill>
    <fill>
      <patternFill patternType="solid">
        <fgColor rgb="FFF55D5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F5F5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AB0B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3" fillId="0" borderId="0" applyFont="0" applyFill="0" applyBorder="0" applyAlignment="0" applyProtection="0"/>
  </cellStyleXfs>
  <cellXfs count="312">
    <xf numFmtId="0" fontId="0" fillId="0" borderId="0" xfId="0"/>
    <xf numFmtId="0" fontId="5" fillId="0" borderId="0" xfId="0" applyFont="1" applyAlignment="1">
      <alignment horizontal="center"/>
    </xf>
    <xf numFmtId="0" fontId="0" fillId="0" borderId="4" xfId="0" applyBorder="1"/>
    <xf numFmtId="0" fontId="0" fillId="0" borderId="18" xfId="0" applyBorder="1"/>
    <xf numFmtId="0" fontId="0" fillId="0" borderId="6" xfId="0" applyBorder="1"/>
    <xf numFmtId="0" fontId="0" fillId="0" borderId="17" xfId="0" applyBorder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5" fillId="0" borderId="0" xfId="0" applyFont="1"/>
    <xf numFmtId="0" fontId="10" fillId="0" borderId="0" xfId="0" applyFont="1"/>
    <xf numFmtId="0" fontId="5" fillId="17" borderId="0" xfId="3" applyFont="1" applyFill="1" applyBorder="1" applyAlignment="1">
      <alignment horizontal="center" vertical="center"/>
    </xf>
    <xf numFmtId="0" fontId="15" fillId="0" borderId="0" xfId="0" applyFont="1"/>
    <xf numFmtId="0" fontId="5" fillId="15" borderId="0" xfId="2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Fill="1"/>
    <xf numFmtId="0" fontId="0" fillId="0" borderId="25" xfId="0" applyBorder="1"/>
    <xf numFmtId="0" fontId="5" fillId="16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26" xfId="0" applyBorder="1"/>
    <xf numFmtId="0" fontId="0" fillId="0" borderId="10" xfId="0" applyBorder="1"/>
    <xf numFmtId="0" fontId="0" fillId="0" borderId="27" xfId="0" applyBorder="1"/>
    <xf numFmtId="0" fontId="0" fillId="0" borderId="25" xfId="0" applyBorder="1" applyAlignment="1">
      <alignment horizontal="center" vertical="center"/>
    </xf>
    <xf numFmtId="0" fontId="0" fillId="0" borderId="19" xfId="0" applyBorder="1"/>
    <xf numFmtId="0" fontId="0" fillId="0" borderId="21" xfId="0" applyBorder="1"/>
    <xf numFmtId="0" fontId="17" fillId="0" borderId="28" xfId="0" applyFont="1" applyBorder="1" applyAlignment="1">
      <alignment horizontal="center" vertical="center" wrapText="1"/>
    </xf>
    <xf numFmtId="0" fontId="17" fillId="0" borderId="28" xfId="0" applyFont="1" applyBorder="1" applyAlignment="1" applyProtection="1">
      <alignment horizontal="center" vertical="center"/>
      <protection locked="0"/>
    </xf>
    <xf numFmtId="0" fontId="0" fillId="0" borderId="28" xfId="0" applyBorder="1" applyAlignment="1">
      <alignment horizontal="center" vertical="center"/>
    </xf>
    <xf numFmtId="0" fontId="17" fillId="0" borderId="28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9" fontId="7" fillId="0" borderId="0" xfId="4" applyFont="1" applyAlignment="1">
      <alignment vertical="center"/>
    </xf>
    <xf numFmtId="0" fontId="7" fillId="0" borderId="0" xfId="0" applyFont="1" applyAlignment="1">
      <alignment horizontal="right" vertical="center"/>
    </xf>
    <xf numFmtId="0" fontId="5" fillId="0" borderId="0" xfId="0" applyFont="1" applyBorder="1" applyAlignment="1">
      <alignment horizontal="center"/>
    </xf>
    <xf numFmtId="0" fontId="0" fillId="0" borderId="5" xfId="0" applyBorder="1"/>
    <xf numFmtId="0" fontId="4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17" fillId="0" borderId="0" xfId="0" applyFont="1" applyFill="1" applyBorder="1" applyAlignment="1">
      <alignment horizontal="center" vertical="center" wrapText="1"/>
    </xf>
    <xf numFmtId="0" fontId="5" fillId="21" borderId="0" xfId="0" applyFont="1" applyFill="1" applyBorder="1" applyAlignment="1">
      <alignment horizontal="center" vertical="center"/>
    </xf>
    <xf numFmtId="0" fontId="5" fillId="22" borderId="0" xfId="1" applyFont="1" applyFill="1" applyBorder="1" applyAlignment="1">
      <alignment horizontal="center" vertical="center"/>
    </xf>
    <xf numFmtId="0" fontId="5" fillId="18" borderId="0" xfId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23" fillId="23" borderId="33" xfId="0" applyFont="1" applyFill="1" applyBorder="1"/>
    <xf numFmtId="0" fontId="0" fillId="0" borderId="33" xfId="0" applyFont="1" applyBorder="1"/>
    <xf numFmtId="0" fontId="0" fillId="0" borderId="0" xfId="0" applyAlignment="1">
      <alignment horizontal="left" vertical="center"/>
    </xf>
    <xf numFmtId="0" fontId="12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4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25" borderId="32" xfId="0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26" borderId="5" xfId="0" applyFont="1" applyFill="1" applyBorder="1" applyAlignment="1">
      <alignment horizontal="center" vertical="center" wrapText="1"/>
    </xf>
    <xf numFmtId="0" fontId="17" fillId="24" borderId="32" xfId="0" applyFont="1" applyFill="1" applyBorder="1" applyAlignment="1">
      <alignment horizontal="center" vertical="center" wrapText="1"/>
    </xf>
    <xf numFmtId="0" fontId="16" fillId="24" borderId="3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Font="1" applyBorder="1"/>
    <xf numFmtId="0" fontId="0" fillId="0" borderId="3" xfId="0" applyBorder="1" applyAlignment="1">
      <alignment horizontal="center" vertical="center"/>
    </xf>
    <xf numFmtId="0" fontId="5" fillId="17" borderId="0" xfId="3" applyFont="1" applyFill="1" applyBorder="1" applyAlignment="1">
      <alignment horizontal="left" vertical="center" wrapText="1"/>
    </xf>
    <xf numFmtId="0" fontId="5" fillId="15" borderId="0" xfId="2" applyFont="1" applyFill="1" applyBorder="1" applyAlignment="1">
      <alignment horizontal="left" vertical="center" wrapText="1"/>
    </xf>
    <xf numFmtId="0" fontId="5" fillId="18" borderId="0" xfId="1" applyFont="1" applyFill="1" applyBorder="1" applyAlignment="1">
      <alignment horizontal="left" vertical="center" wrapText="1"/>
    </xf>
    <xf numFmtId="0" fontId="5" fillId="22" borderId="0" xfId="1" applyFont="1" applyFill="1" applyBorder="1" applyAlignment="1">
      <alignment horizontal="left" vertical="center" wrapText="1"/>
    </xf>
    <xf numFmtId="0" fontId="5" fillId="16" borderId="0" xfId="0" applyFont="1" applyFill="1" applyBorder="1" applyAlignment="1">
      <alignment horizontal="left" vertical="center" wrapText="1"/>
    </xf>
    <xf numFmtId="0" fontId="5" fillId="21" borderId="0" xfId="0" applyFont="1" applyFill="1" applyBorder="1" applyAlignment="1">
      <alignment horizontal="left" vertical="center" wrapText="1"/>
    </xf>
    <xf numFmtId="0" fontId="5" fillId="17" borderId="14" xfId="3" applyFont="1" applyFill="1" applyBorder="1" applyAlignment="1">
      <alignment horizontal="center" vertical="center"/>
    </xf>
    <xf numFmtId="0" fontId="5" fillId="17" borderId="9" xfId="3" applyFont="1" applyFill="1" applyBorder="1" applyAlignment="1">
      <alignment horizontal="center" vertical="center"/>
    </xf>
    <xf numFmtId="0" fontId="5" fillId="18" borderId="14" xfId="2" applyFont="1" applyFill="1" applyBorder="1" applyAlignment="1">
      <alignment horizontal="center" vertical="center"/>
    </xf>
    <xf numFmtId="0" fontId="5" fillId="18" borderId="9" xfId="2" applyFont="1" applyFill="1" applyBorder="1" applyAlignment="1">
      <alignment horizontal="center" vertical="center"/>
    </xf>
    <xf numFmtId="0" fontId="5" fillId="22" borderId="4" xfId="2" applyFont="1" applyFill="1" applyBorder="1" applyAlignment="1">
      <alignment horizontal="center" vertical="center"/>
    </xf>
    <xf numFmtId="0" fontId="5" fillId="22" borderId="0" xfId="2" applyFont="1" applyFill="1" applyBorder="1" applyAlignment="1">
      <alignment horizontal="center" vertical="center"/>
    </xf>
    <xf numFmtId="0" fontId="5" fillId="22" borderId="18" xfId="2" applyFont="1" applyFill="1" applyBorder="1" applyAlignment="1">
      <alignment horizontal="center" vertical="center"/>
    </xf>
    <xf numFmtId="0" fontId="5" fillId="21" borderId="14" xfId="2" applyFont="1" applyFill="1" applyBorder="1" applyAlignment="1">
      <alignment horizontal="center" vertical="center"/>
    </xf>
    <xf numFmtId="0" fontId="5" fillId="21" borderId="9" xfId="2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25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9" fontId="5" fillId="0" borderId="0" xfId="4" applyFont="1" applyAlignment="1">
      <alignment vertical="center"/>
    </xf>
    <xf numFmtId="0" fontId="0" fillId="0" borderId="27" xfId="0" applyBorder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Fill="1" applyAlignment="1">
      <alignment vertical="center"/>
    </xf>
    <xf numFmtId="0" fontId="0" fillId="0" borderId="28" xfId="0" applyBorder="1" applyAlignment="1">
      <alignment horizontal="center" vertical="center" wrapText="1"/>
    </xf>
    <xf numFmtId="0" fontId="5" fillId="21" borderId="4" xfId="2" applyFont="1" applyFill="1" applyBorder="1" applyAlignment="1">
      <alignment horizontal="center" vertical="center"/>
    </xf>
    <xf numFmtId="0" fontId="5" fillId="16" borderId="4" xfId="2" applyFont="1" applyFill="1" applyBorder="1" applyAlignment="1">
      <alignment horizontal="center" vertical="center"/>
    </xf>
    <xf numFmtId="0" fontId="5" fillId="21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5" borderId="18" xfId="2" applyFont="1" applyFill="1" applyBorder="1" applyAlignment="1">
      <alignment horizontal="center" vertical="center"/>
    </xf>
    <xf numFmtId="0" fontId="5" fillId="17" borderId="18" xfId="3" applyFont="1" applyFill="1" applyBorder="1" applyAlignment="1">
      <alignment horizontal="center" vertical="center"/>
    </xf>
    <xf numFmtId="0" fontId="5" fillId="16" borderId="18" xfId="2" applyFont="1" applyFill="1" applyBorder="1" applyAlignment="1">
      <alignment horizontal="center" vertical="center"/>
    </xf>
    <xf numFmtId="0" fontId="5" fillId="18" borderId="18" xfId="2" applyFont="1" applyFill="1" applyBorder="1" applyAlignment="1">
      <alignment horizontal="center" vertical="center"/>
    </xf>
    <xf numFmtId="0" fontId="5" fillId="6" borderId="0" xfId="2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14" fillId="0" borderId="0" xfId="0" applyFont="1" applyFill="1" applyAlignment="1">
      <alignment vertical="center"/>
    </xf>
    <xf numFmtId="0" fontId="5" fillId="17" borderId="0" xfId="3" applyFont="1" applyFill="1" applyBorder="1" applyAlignment="1" applyProtection="1">
      <alignment horizontal="center" vertical="center"/>
      <protection locked="0"/>
    </xf>
    <xf numFmtId="0" fontId="5" fillId="15" borderId="0" xfId="2" applyFont="1" applyFill="1" applyBorder="1" applyAlignment="1" applyProtection="1">
      <alignment horizontal="center" vertical="center"/>
      <protection locked="0"/>
    </xf>
    <xf numFmtId="0" fontId="5" fillId="18" borderId="0" xfId="1" applyFont="1" applyFill="1" applyBorder="1" applyAlignment="1" applyProtection="1">
      <alignment horizontal="center" vertical="center"/>
      <protection locked="0"/>
    </xf>
    <xf numFmtId="0" fontId="5" fillId="22" borderId="0" xfId="1" applyFont="1" applyFill="1" applyBorder="1" applyAlignment="1" applyProtection="1">
      <alignment horizontal="center" vertical="center"/>
      <protection locked="0"/>
    </xf>
    <xf numFmtId="0" fontId="5" fillId="16" borderId="0" xfId="0" applyFont="1" applyFill="1" applyBorder="1" applyAlignment="1" applyProtection="1">
      <alignment horizontal="center" vertical="center"/>
      <protection locked="0"/>
    </xf>
    <xf numFmtId="0" fontId="5" fillId="21" borderId="0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vertical="center"/>
    </xf>
    <xf numFmtId="0" fontId="5" fillId="0" borderId="0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18" borderId="14" xfId="2" applyFont="1" applyFill="1" applyBorder="1" applyAlignment="1">
      <alignment horizontal="center" vertical="center" wrapText="1"/>
    </xf>
    <xf numFmtId="0" fontId="5" fillId="15" borderId="4" xfId="2" applyFont="1" applyFill="1" applyBorder="1" applyAlignment="1">
      <alignment horizontal="center" vertical="center"/>
    </xf>
    <xf numFmtId="0" fontId="5" fillId="17" borderId="2" xfId="3" applyFont="1" applyFill="1" applyBorder="1" applyAlignment="1">
      <alignment horizontal="center" vertical="center"/>
    </xf>
    <xf numFmtId="0" fontId="5" fillId="21" borderId="21" xfId="2" applyFont="1" applyFill="1" applyBorder="1" applyAlignment="1">
      <alignment horizontal="center" vertical="center"/>
    </xf>
    <xf numFmtId="0" fontId="5" fillId="17" borderId="3" xfId="3" applyFont="1" applyFill="1" applyBorder="1" applyAlignment="1">
      <alignment horizontal="center" vertical="center"/>
    </xf>
    <xf numFmtId="0" fontId="5" fillId="21" borderId="20" xfId="2" applyFont="1" applyFill="1" applyBorder="1" applyAlignment="1">
      <alignment horizontal="center" vertical="center"/>
    </xf>
    <xf numFmtId="0" fontId="5" fillId="15" borderId="6" xfId="2" applyFont="1" applyFill="1" applyBorder="1" applyAlignment="1">
      <alignment horizontal="center" vertical="center"/>
    </xf>
    <xf numFmtId="0" fontId="5" fillId="17" borderId="6" xfId="3" applyFont="1" applyFill="1" applyBorder="1" applyAlignment="1">
      <alignment horizontal="center" vertical="center"/>
    </xf>
    <xf numFmtId="0" fontId="5" fillId="17" borderId="2" xfId="3" applyFont="1" applyFill="1" applyBorder="1" applyAlignment="1">
      <alignment horizontal="left" vertical="center" wrapText="1"/>
    </xf>
    <xf numFmtId="0" fontId="5" fillId="15" borderId="6" xfId="2" applyFont="1" applyFill="1" applyBorder="1" applyAlignment="1">
      <alignment horizontal="left" vertical="center" wrapText="1"/>
    </xf>
    <xf numFmtId="0" fontId="5" fillId="17" borderId="6" xfId="3" applyFont="1" applyFill="1" applyBorder="1" applyAlignment="1">
      <alignment horizontal="left" vertical="center" wrapText="1"/>
    </xf>
    <xf numFmtId="0" fontId="5" fillId="17" borderId="2" xfId="3" applyFont="1" applyFill="1" applyBorder="1" applyAlignment="1" applyProtection="1">
      <alignment horizontal="center" vertical="center"/>
      <protection locked="0"/>
    </xf>
    <xf numFmtId="0" fontId="5" fillId="15" borderId="6" xfId="2" applyFont="1" applyFill="1" applyBorder="1" applyAlignment="1" applyProtection="1">
      <alignment horizontal="center" vertical="center"/>
      <protection locked="0"/>
    </xf>
    <xf numFmtId="0" fontId="5" fillId="17" borderId="6" xfId="3" applyFont="1" applyFill="1" applyBorder="1" applyAlignment="1" applyProtection="1">
      <alignment horizontal="center" vertical="center"/>
      <protection locked="0"/>
    </xf>
    <xf numFmtId="0" fontId="5" fillId="17" borderId="2" xfId="3" quotePrefix="1" applyFont="1" applyFill="1" applyBorder="1" applyAlignment="1">
      <alignment horizontal="center" vertical="center" wrapText="1"/>
    </xf>
    <xf numFmtId="0" fontId="5" fillId="17" borderId="12" xfId="3" applyFont="1" applyFill="1" applyBorder="1" applyAlignment="1">
      <alignment horizontal="center" vertical="center"/>
    </xf>
    <xf numFmtId="0" fontId="5" fillId="17" borderId="13" xfId="3" applyFont="1" applyFill="1" applyBorder="1" applyAlignment="1">
      <alignment horizontal="center" vertical="center"/>
    </xf>
    <xf numFmtId="0" fontId="5" fillId="15" borderId="17" xfId="2" applyFont="1" applyFill="1" applyBorder="1" applyAlignment="1">
      <alignment horizontal="center" vertical="center"/>
    </xf>
    <xf numFmtId="0" fontId="5" fillId="17" borderId="17" xfId="3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6" fillId="5" borderId="4" xfId="0" applyFont="1" applyFill="1" applyBorder="1" applyAlignment="1">
      <alignment horizontal="center" vertical="top" wrapText="1"/>
    </xf>
    <xf numFmtId="0" fontId="13" fillId="9" borderId="0" xfId="0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/>
    </xf>
    <xf numFmtId="1" fontId="5" fillId="17" borderId="2" xfId="3" applyNumberFormat="1" applyFont="1" applyFill="1" applyBorder="1" applyAlignment="1">
      <alignment horizontal="center" vertical="center"/>
    </xf>
    <xf numFmtId="1" fontId="5" fillId="17" borderId="0" xfId="3" applyNumberFormat="1" applyFont="1" applyFill="1" applyBorder="1" applyAlignment="1">
      <alignment horizontal="center" vertical="center"/>
    </xf>
    <xf numFmtId="1" fontId="5" fillId="17" borderId="6" xfId="3" applyNumberFormat="1" applyFont="1" applyFill="1" applyBorder="1" applyAlignment="1">
      <alignment horizontal="center" vertical="center"/>
    </xf>
    <xf numFmtId="1" fontId="5" fillId="15" borderId="0" xfId="2" applyNumberFormat="1" applyFont="1" applyFill="1" applyBorder="1" applyAlignment="1">
      <alignment horizontal="center" vertical="center"/>
    </xf>
    <xf numFmtId="1" fontId="5" fillId="18" borderId="0" xfId="1" applyNumberFormat="1" applyFont="1" applyFill="1" applyBorder="1" applyAlignment="1">
      <alignment horizontal="center" vertical="center"/>
    </xf>
    <xf numFmtId="1" fontId="5" fillId="22" borderId="0" xfId="1" applyNumberFormat="1" applyFont="1" applyFill="1" applyBorder="1" applyAlignment="1">
      <alignment horizontal="center" vertical="center"/>
    </xf>
    <xf numFmtId="1" fontId="5" fillId="16" borderId="0" xfId="0" applyNumberFormat="1" applyFont="1" applyFill="1" applyBorder="1" applyAlignment="1">
      <alignment horizontal="center" vertical="center"/>
    </xf>
    <xf numFmtId="1" fontId="5" fillId="21" borderId="0" xfId="0" applyNumberFormat="1" applyFont="1" applyFill="1" applyBorder="1" applyAlignment="1">
      <alignment horizontal="center" vertical="center"/>
    </xf>
    <xf numFmtId="1" fontId="5" fillId="17" borderId="2" xfId="3" applyNumberFormat="1" applyFont="1" applyFill="1" applyBorder="1" applyAlignment="1" applyProtection="1">
      <alignment horizontal="center" vertical="center"/>
      <protection locked="0"/>
    </xf>
    <xf numFmtId="1" fontId="5" fillId="17" borderId="0" xfId="3" applyNumberFormat="1" applyFont="1" applyFill="1" applyBorder="1" applyAlignment="1" applyProtection="1">
      <alignment horizontal="center" vertical="center"/>
      <protection locked="0"/>
    </xf>
    <xf numFmtId="1" fontId="5" fillId="17" borderId="6" xfId="3" applyNumberFormat="1" applyFont="1" applyFill="1" applyBorder="1" applyAlignment="1" applyProtection="1">
      <alignment horizontal="center" vertical="center"/>
      <protection locked="0"/>
    </xf>
    <xf numFmtId="1" fontId="5" fillId="15" borderId="0" xfId="2" applyNumberFormat="1" applyFont="1" applyFill="1" applyBorder="1" applyAlignment="1" applyProtection="1">
      <alignment horizontal="center" vertical="center"/>
      <protection locked="0"/>
    </xf>
    <xf numFmtId="1" fontId="5" fillId="15" borderId="6" xfId="2" applyNumberFormat="1" applyFont="1" applyFill="1" applyBorder="1" applyAlignment="1" applyProtection="1">
      <alignment horizontal="center" vertical="center"/>
      <protection locked="0"/>
    </xf>
    <xf numFmtId="1" fontId="5" fillId="18" borderId="0" xfId="1" applyNumberFormat="1" applyFont="1" applyFill="1" applyBorder="1" applyAlignment="1" applyProtection="1">
      <alignment horizontal="center" vertical="center"/>
      <protection locked="0"/>
    </xf>
    <xf numFmtId="1" fontId="5" fillId="22" borderId="0" xfId="1" applyNumberFormat="1" applyFont="1" applyFill="1" applyBorder="1" applyAlignment="1" applyProtection="1">
      <alignment horizontal="center" vertical="center"/>
      <protection locked="0"/>
    </xf>
    <xf numFmtId="1" fontId="5" fillId="16" borderId="0" xfId="0" applyNumberFormat="1" applyFont="1" applyFill="1" applyBorder="1" applyAlignment="1" applyProtection="1">
      <alignment horizontal="center" vertical="center"/>
      <protection locked="0"/>
    </xf>
    <xf numFmtId="1" fontId="5" fillId="21" borderId="0" xfId="0" applyNumberFormat="1" applyFont="1" applyFill="1" applyBorder="1" applyAlignment="1" applyProtection="1">
      <alignment horizontal="center" vertical="center"/>
      <protection locked="0"/>
    </xf>
    <xf numFmtId="1" fontId="5" fillId="15" borderId="6" xfId="2" applyNumberFormat="1" applyFont="1" applyFill="1" applyBorder="1" applyAlignment="1">
      <alignment horizontal="center" vertical="center"/>
    </xf>
    <xf numFmtId="0" fontId="1" fillId="25" borderId="32" xfId="0" applyFont="1" applyFill="1" applyBorder="1" applyAlignment="1" applyProtection="1">
      <alignment horizontal="center" vertical="center"/>
      <protection locked="0"/>
    </xf>
    <xf numFmtId="0" fontId="5" fillId="18" borderId="0" xfId="2" applyFont="1" applyFill="1" applyBorder="1" applyAlignment="1">
      <alignment horizontal="center" vertical="center"/>
    </xf>
    <xf numFmtId="0" fontId="5" fillId="22" borderId="5" xfId="2" applyFont="1" applyFill="1" applyBorder="1" applyAlignment="1">
      <alignment horizontal="center" vertical="center"/>
    </xf>
    <xf numFmtId="0" fontId="5" fillId="22" borderId="6" xfId="2" applyFont="1" applyFill="1" applyBorder="1" applyAlignment="1">
      <alignment horizontal="center" vertical="center"/>
    </xf>
    <xf numFmtId="0" fontId="5" fillId="22" borderId="17" xfId="2" applyFont="1" applyFill="1" applyBorder="1" applyAlignment="1">
      <alignment horizontal="center" vertical="center"/>
    </xf>
    <xf numFmtId="0" fontId="5" fillId="17" borderId="2" xfId="3" applyFont="1" applyFill="1" applyBorder="1" applyAlignment="1">
      <alignment horizontal="left" vertical="center"/>
    </xf>
    <xf numFmtId="0" fontId="5" fillId="17" borderId="0" xfId="3" applyFont="1" applyFill="1" applyBorder="1" applyAlignment="1">
      <alignment horizontal="left" vertical="center"/>
    </xf>
    <xf numFmtId="0" fontId="5" fillId="17" borderId="6" xfId="3" applyFont="1" applyFill="1" applyBorder="1" applyAlignment="1">
      <alignment horizontal="left" vertical="center"/>
    </xf>
    <xf numFmtId="0" fontId="5" fillId="15" borderId="0" xfId="2" applyFont="1" applyFill="1" applyBorder="1" applyAlignment="1">
      <alignment horizontal="left" vertical="center"/>
    </xf>
    <xf numFmtId="0" fontId="5" fillId="18" borderId="0" xfId="1" applyFont="1" applyFill="1" applyBorder="1" applyAlignment="1">
      <alignment horizontal="left" vertical="center"/>
    </xf>
    <xf numFmtId="0" fontId="5" fillId="22" borderId="0" xfId="1" applyFont="1" applyFill="1" applyBorder="1" applyAlignment="1">
      <alignment horizontal="left" vertical="center"/>
    </xf>
    <xf numFmtId="0" fontId="5" fillId="16" borderId="0" xfId="0" applyFont="1" applyFill="1" applyBorder="1" applyAlignment="1">
      <alignment horizontal="left" vertical="center"/>
    </xf>
    <xf numFmtId="0" fontId="5" fillId="21" borderId="0" xfId="0" applyFont="1" applyFill="1" applyBorder="1" applyAlignment="1">
      <alignment horizontal="left" vertical="center"/>
    </xf>
    <xf numFmtId="0" fontId="5" fillId="7" borderId="0" xfId="2" applyFont="1" applyFill="1" applyBorder="1" applyAlignment="1">
      <alignment horizontal="center" vertical="center"/>
    </xf>
    <xf numFmtId="1" fontId="5" fillId="7" borderId="0" xfId="2" applyNumberFormat="1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left" vertical="center"/>
    </xf>
    <xf numFmtId="0" fontId="5" fillId="7" borderId="0" xfId="2" applyFont="1" applyFill="1" applyBorder="1" applyAlignment="1">
      <alignment horizontal="left" vertical="center" wrapText="1"/>
    </xf>
    <xf numFmtId="0" fontId="5" fillId="7" borderId="0" xfId="2" applyFont="1" applyFill="1" applyBorder="1" applyAlignment="1" applyProtection="1">
      <alignment horizontal="center" vertical="center"/>
      <protection locked="0"/>
    </xf>
    <xf numFmtId="1" fontId="5" fillId="7" borderId="0" xfId="2" applyNumberFormat="1" applyFont="1" applyFill="1" applyBorder="1" applyAlignment="1" applyProtection="1">
      <alignment horizontal="center" vertical="center"/>
      <protection locked="0"/>
    </xf>
    <xf numFmtId="0" fontId="5" fillId="7" borderId="20" xfId="2" applyFont="1" applyFill="1" applyBorder="1" applyAlignment="1">
      <alignment horizontal="center" vertical="center"/>
    </xf>
    <xf numFmtId="0" fontId="5" fillId="7" borderId="21" xfId="2" applyFont="1" applyFill="1" applyBorder="1" applyAlignment="1">
      <alignment horizontal="center" vertical="center"/>
    </xf>
    <xf numFmtId="0" fontId="5" fillId="7" borderId="18" xfId="2" applyFont="1" applyFill="1" applyBorder="1" applyAlignment="1">
      <alignment horizontal="center" vertical="center"/>
    </xf>
    <xf numFmtId="0" fontId="5" fillId="7" borderId="4" xfId="2" applyFont="1" applyFill="1" applyBorder="1" applyAlignment="1">
      <alignment horizontal="center" vertical="center"/>
    </xf>
    <xf numFmtId="0" fontId="5" fillId="7" borderId="14" xfId="2" applyFont="1" applyFill="1" applyBorder="1" applyAlignment="1">
      <alignment horizontal="center" vertical="center"/>
    </xf>
    <xf numFmtId="0" fontId="5" fillId="7" borderId="9" xfId="2" applyFont="1" applyFill="1" applyBorder="1" applyAlignment="1">
      <alignment horizontal="center" vertical="center"/>
    </xf>
    <xf numFmtId="0" fontId="16" fillId="7" borderId="0" xfId="2" applyFont="1" applyFill="1" applyBorder="1" applyAlignment="1">
      <alignment horizontal="left" vertical="center" wrapText="1"/>
    </xf>
    <xf numFmtId="0" fontId="5" fillId="18" borderId="20" xfId="2" applyFont="1" applyFill="1" applyBorder="1" applyAlignment="1">
      <alignment horizontal="center" vertical="center"/>
    </xf>
    <xf numFmtId="0" fontId="5" fillId="18" borderId="21" xfId="2" applyFont="1" applyFill="1" applyBorder="1" applyAlignment="1">
      <alignment horizontal="center" vertical="center"/>
    </xf>
    <xf numFmtId="0" fontId="5" fillId="7" borderId="24" xfId="2" applyFont="1" applyFill="1" applyBorder="1" applyAlignment="1">
      <alignment horizontal="center" vertical="center"/>
    </xf>
    <xf numFmtId="1" fontId="5" fillId="7" borderId="24" xfId="2" applyNumberFormat="1" applyFont="1" applyFill="1" applyBorder="1" applyAlignment="1">
      <alignment horizontal="center" vertical="center"/>
    </xf>
    <xf numFmtId="0" fontId="5" fillId="7" borderId="24" xfId="2" applyFont="1" applyFill="1" applyBorder="1" applyAlignment="1">
      <alignment horizontal="left" vertical="center"/>
    </xf>
    <xf numFmtId="0" fontId="5" fillId="7" borderId="24" xfId="2" applyFont="1" applyFill="1" applyBorder="1" applyAlignment="1">
      <alignment horizontal="left" vertical="center" wrapText="1"/>
    </xf>
    <xf numFmtId="0" fontId="5" fillId="7" borderId="24" xfId="2" applyFont="1" applyFill="1" applyBorder="1" applyAlignment="1" applyProtection="1">
      <alignment horizontal="center" vertical="center"/>
      <protection locked="0"/>
    </xf>
    <xf numFmtId="1" fontId="5" fillId="7" borderId="24" xfId="2" applyNumberFormat="1" applyFont="1" applyFill="1" applyBorder="1" applyAlignment="1" applyProtection="1">
      <alignment horizontal="center" vertical="center"/>
      <protection locked="0"/>
    </xf>
    <xf numFmtId="0" fontId="5" fillId="7" borderId="40" xfId="2" applyFont="1" applyFill="1" applyBorder="1" applyAlignment="1">
      <alignment horizontal="center" vertical="center"/>
    </xf>
    <xf numFmtId="0" fontId="5" fillId="7" borderId="41" xfId="2" applyFont="1" applyFill="1" applyBorder="1" applyAlignment="1">
      <alignment horizontal="center" vertical="center"/>
    </xf>
    <xf numFmtId="0" fontId="5" fillId="7" borderId="30" xfId="2" applyFont="1" applyFill="1" applyBorder="1" applyAlignment="1">
      <alignment horizontal="center" vertical="center"/>
    </xf>
    <xf numFmtId="0" fontId="5" fillId="15" borderId="6" xfId="2" applyFont="1" applyFill="1" applyBorder="1" applyAlignment="1">
      <alignment horizontal="left" vertical="center"/>
    </xf>
    <xf numFmtId="0" fontId="5" fillId="22" borderId="6" xfId="1" applyFont="1" applyFill="1" applyBorder="1" applyAlignment="1">
      <alignment horizontal="center" vertical="center"/>
    </xf>
    <xf numFmtId="1" fontId="5" fillId="22" borderId="6" xfId="1" applyNumberFormat="1" applyFont="1" applyFill="1" applyBorder="1" applyAlignment="1">
      <alignment horizontal="center" vertical="center"/>
    </xf>
    <xf numFmtId="0" fontId="5" fillId="22" borderId="6" xfId="1" applyFont="1" applyFill="1" applyBorder="1" applyAlignment="1">
      <alignment horizontal="left" vertical="center"/>
    </xf>
    <xf numFmtId="0" fontId="5" fillId="22" borderId="6" xfId="1" applyFont="1" applyFill="1" applyBorder="1" applyAlignment="1">
      <alignment horizontal="left" vertical="center" wrapText="1"/>
    </xf>
    <xf numFmtId="0" fontId="5" fillId="22" borderId="6" xfId="1" applyFont="1" applyFill="1" applyBorder="1" applyAlignment="1" applyProtection="1">
      <alignment horizontal="center" vertical="center"/>
      <protection locked="0"/>
    </xf>
    <xf numFmtId="1" fontId="5" fillId="22" borderId="6" xfId="1" applyNumberFormat="1" applyFont="1" applyFill="1" applyBorder="1" applyAlignment="1" applyProtection="1">
      <alignment horizontal="center" vertical="center"/>
      <protection locked="0"/>
    </xf>
    <xf numFmtId="0" fontId="5" fillId="18" borderId="6" xfId="1" applyFont="1" applyFill="1" applyBorder="1" applyAlignment="1">
      <alignment horizontal="center" vertical="center"/>
    </xf>
    <xf numFmtId="1" fontId="5" fillId="18" borderId="6" xfId="1" applyNumberFormat="1" applyFont="1" applyFill="1" applyBorder="1" applyAlignment="1">
      <alignment horizontal="center" vertical="center"/>
    </xf>
    <xf numFmtId="0" fontId="5" fillId="18" borderId="6" xfId="1" applyFont="1" applyFill="1" applyBorder="1" applyAlignment="1">
      <alignment horizontal="left" vertical="center"/>
    </xf>
    <xf numFmtId="0" fontId="5" fillId="18" borderId="6" xfId="1" applyFont="1" applyFill="1" applyBorder="1" applyAlignment="1">
      <alignment horizontal="left" vertical="center" wrapText="1"/>
    </xf>
    <xf numFmtId="0" fontId="5" fillId="18" borderId="6" xfId="1" applyFont="1" applyFill="1" applyBorder="1" applyAlignment="1" applyProtection="1">
      <alignment horizontal="center" vertical="center"/>
      <protection locked="0"/>
    </xf>
    <xf numFmtId="1" fontId="5" fillId="18" borderId="6" xfId="1" applyNumberFormat="1" applyFont="1" applyFill="1" applyBorder="1" applyAlignment="1" applyProtection="1">
      <alignment horizontal="center" vertical="center"/>
      <protection locked="0"/>
    </xf>
    <xf numFmtId="0" fontId="5" fillId="18" borderId="15" xfId="2" applyFont="1" applyFill="1" applyBorder="1" applyAlignment="1">
      <alignment horizontal="center" vertical="center"/>
    </xf>
    <xf numFmtId="0" fontId="5" fillId="18" borderId="16" xfId="2" applyFont="1" applyFill="1" applyBorder="1" applyAlignment="1">
      <alignment horizontal="center" vertical="center"/>
    </xf>
    <xf numFmtId="0" fontId="5" fillId="18" borderId="6" xfId="2" applyFont="1" applyFill="1" applyBorder="1" applyAlignment="1">
      <alignment horizontal="center" vertical="center"/>
    </xf>
    <xf numFmtId="0" fontId="5" fillId="18" borderId="17" xfId="2" applyFont="1" applyFill="1" applyBorder="1" applyAlignment="1">
      <alignment horizontal="center" vertical="center"/>
    </xf>
    <xf numFmtId="0" fontId="5" fillId="17" borderId="15" xfId="3" applyFont="1" applyFill="1" applyBorder="1" applyAlignment="1">
      <alignment horizontal="center" vertical="center"/>
    </xf>
    <xf numFmtId="0" fontId="5" fillId="17" borderId="16" xfId="3" applyFont="1" applyFill="1" applyBorder="1" applyAlignment="1">
      <alignment horizontal="center" vertical="center"/>
    </xf>
    <xf numFmtId="0" fontId="5" fillId="17" borderId="43" xfId="3" applyFont="1" applyFill="1" applyBorder="1" applyAlignment="1">
      <alignment horizontal="center" vertical="center"/>
    </xf>
    <xf numFmtId="0" fontId="5" fillId="17" borderId="22" xfId="3" applyFont="1" applyFill="1" applyBorder="1" applyAlignment="1">
      <alignment horizontal="center" vertical="center"/>
    </xf>
    <xf numFmtId="0" fontId="5" fillId="17" borderId="42" xfId="3" applyFont="1" applyFill="1" applyBorder="1" applyAlignment="1">
      <alignment horizontal="center" vertical="center"/>
    </xf>
    <xf numFmtId="0" fontId="5" fillId="7" borderId="23" xfId="2" applyFont="1" applyFill="1" applyBorder="1" applyAlignment="1">
      <alignment horizontal="center" vertical="center"/>
    </xf>
    <xf numFmtId="0" fontId="5" fillId="7" borderId="22" xfId="2" applyFont="1" applyFill="1" applyBorder="1" applyAlignment="1">
      <alignment horizontal="center" vertical="center"/>
    </xf>
    <xf numFmtId="0" fontId="5" fillId="7" borderId="39" xfId="2" applyFont="1" applyFill="1" applyBorder="1" applyAlignment="1">
      <alignment horizontal="center" vertical="center"/>
    </xf>
    <xf numFmtId="0" fontId="5" fillId="15" borderId="5" xfId="2" applyFont="1" applyFill="1" applyBorder="1" applyAlignment="1">
      <alignment horizontal="center" vertical="center"/>
    </xf>
    <xf numFmtId="0" fontId="5" fillId="18" borderId="23" xfId="2" applyFont="1" applyFill="1" applyBorder="1" applyAlignment="1">
      <alignment horizontal="center" vertical="center"/>
    </xf>
    <xf numFmtId="0" fontId="5" fillId="18" borderId="22" xfId="2" applyFont="1" applyFill="1" applyBorder="1" applyAlignment="1">
      <alignment horizontal="center" vertical="center"/>
    </xf>
    <xf numFmtId="0" fontId="5" fillId="18" borderId="42" xfId="2" applyFont="1" applyFill="1" applyBorder="1" applyAlignment="1">
      <alignment horizontal="center" vertical="center"/>
    </xf>
    <xf numFmtId="0" fontId="5" fillId="21" borderId="23" xfId="2" applyFont="1" applyFill="1" applyBorder="1" applyAlignment="1">
      <alignment horizontal="center" vertical="center"/>
    </xf>
    <xf numFmtId="0" fontId="5" fillId="21" borderId="22" xfId="2" applyFont="1" applyFill="1" applyBorder="1" applyAlignment="1">
      <alignment horizontal="center" vertical="center"/>
    </xf>
    <xf numFmtId="0" fontId="5" fillId="21" borderId="18" xfId="2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5" fillId="17" borderId="21" xfId="3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top" wrapText="1"/>
    </xf>
    <xf numFmtId="0" fontId="5" fillId="17" borderId="10" xfId="3" applyFont="1" applyFill="1" applyBorder="1" applyAlignment="1">
      <alignment horizontal="center" vertical="center"/>
    </xf>
    <xf numFmtId="0" fontId="5" fillId="6" borderId="24" xfId="2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top" wrapText="1"/>
    </xf>
    <xf numFmtId="0" fontId="5" fillId="16" borderId="1" xfId="2" applyFont="1" applyFill="1" applyBorder="1" applyAlignment="1">
      <alignment horizontal="center" vertical="center"/>
    </xf>
    <xf numFmtId="0" fontId="5" fillId="16" borderId="2" xfId="2" applyFont="1" applyFill="1" applyBorder="1" applyAlignment="1">
      <alignment horizontal="center" vertical="center"/>
    </xf>
    <xf numFmtId="0" fontId="5" fillId="16" borderId="3" xfId="2" applyFont="1" applyFill="1" applyBorder="1" applyAlignment="1">
      <alignment horizontal="center" vertical="center"/>
    </xf>
    <xf numFmtId="0" fontId="5" fillId="16" borderId="24" xfId="0" applyFont="1" applyFill="1" applyBorder="1" applyAlignment="1">
      <alignment horizontal="center" vertical="center"/>
    </xf>
    <xf numFmtId="1" fontId="5" fillId="16" borderId="24" xfId="0" applyNumberFormat="1" applyFont="1" applyFill="1" applyBorder="1" applyAlignment="1">
      <alignment horizontal="center" vertical="center"/>
    </xf>
    <xf numFmtId="0" fontId="5" fillId="16" borderId="24" xfId="0" applyFont="1" applyFill="1" applyBorder="1" applyAlignment="1">
      <alignment horizontal="left" vertical="center"/>
    </xf>
    <xf numFmtId="0" fontId="5" fillId="16" borderId="24" xfId="0" applyFont="1" applyFill="1" applyBorder="1" applyAlignment="1">
      <alignment horizontal="left" vertical="center" wrapText="1"/>
    </xf>
    <xf numFmtId="0" fontId="5" fillId="16" borderId="24" xfId="0" applyFont="1" applyFill="1" applyBorder="1" applyAlignment="1" applyProtection="1">
      <alignment horizontal="center" vertical="center"/>
      <protection locked="0"/>
    </xf>
    <xf numFmtId="1" fontId="5" fillId="16" borderId="24" xfId="0" applyNumberFormat="1" applyFont="1" applyFill="1" applyBorder="1" applyAlignment="1" applyProtection="1">
      <alignment horizontal="center" vertical="center"/>
      <protection locked="0"/>
    </xf>
    <xf numFmtId="0" fontId="5" fillId="16" borderId="29" xfId="2" applyFont="1" applyFill="1" applyBorder="1" applyAlignment="1">
      <alignment horizontal="center" vertical="center"/>
    </xf>
    <xf numFmtId="0" fontId="5" fillId="16" borderId="24" xfId="2" applyFont="1" applyFill="1" applyBorder="1" applyAlignment="1">
      <alignment horizontal="center" vertical="center"/>
    </xf>
    <xf numFmtId="0" fontId="5" fillId="16" borderId="30" xfId="2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23" fillId="5" borderId="37" xfId="0" applyFont="1" applyFill="1" applyBorder="1" applyAlignment="1">
      <alignment horizontal="left" vertical="center" wrapText="1"/>
    </xf>
    <xf numFmtId="0" fontId="23" fillId="5" borderId="38" xfId="0" applyFont="1" applyFill="1" applyBorder="1" applyAlignment="1">
      <alignment horizontal="left" vertical="center" wrapText="1"/>
    </xf>
    <xf numFmtId="0" fontId="4" fillId="5" borderId="37" xfId="0" applyFont="1" applyFill="1" applyBorder="1" applyAlignment="1">
      <alignment horizontal="left" vertical="center" wrapText="1"/>
    </xf>
    <xf numFmtId="0" fontId="4" fillId="5" borderId="38" xfId="0" applyFont="1" applyFill="1" applyBorder="1" applyAlignment="1">
      <alignment horizontal="left" vertical="center"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6" fillId="25" borderId="8" xfId="0" applyFont="1" applyFill="1" applyBorder="1" applyAlignment="1" applyProtection="1">
      <alignment horizontal="center" vertical="center" wrapText="1"/>
      <protection locked="0"/>
    </xf>
    <xf numFmtId="0" fontId="25" fillId="0" borderId="0" xfId="0" applyFont="1" applyBorder="1" applyAlignment="1">
      <alignment horizontal="center" vertical="center"/>
    </xf>
    <xf numFmtId="0" fontId="16" fillId="24" borderId="7" xfId="0" applyFont="1" applyFill="1" applyBorder="1" applyAlignment="1">
      <alignment horizontal="center" vertical="center" wrapText="1"/>
    </xf>
    <xf numFmtId="0" fontId="16" fillId="24" borderId="8" xfId="0" applyFont="1" applyFill="1" applyBorder="1" applyAlignment="1">
      <alignment horizontal="center" vertical="center" wrapText="1"/>
    </xf>
    <xf numFmtId="0" fontId="16" fillId="24" borderId="11" xfId="0" applyFont="1" applyFill="1" applyBorder="1" applyAlignment="1">
      <alignment horizontal="center" vertical="center" wrapText="1"/>
    </xf>
    <xf numFmtId="0" fontId="4" fillId="26" borderId="8" xfId="0" applyFont="1" applyFill="1" applyBorder="1" applyAlignment="1" applyProtection="1">
      <alignment horizontal="center" vertical="center" wrapText="1"/>
      <protection locked="0"/>
    </xf>
    <xf numFmtId="0" fontId="4" fillId="26" borderId="11" xfId="0" applyFont="1" applyFill="1" applyBorder="1" applyAlignment="1" applyProtection="1">
      <alignment horizontal="center" vertical="center" wrapText="1"/>
      <protection locked="0"/>
    </xf>
    <xf numFmtId="0" fontId="7" fillId="25" borderId="7" xfId="0" applyFont="1" applyFill="1" applyBorder="1" applyAlignment="1">
      <alignment horizontal="center" vertical="center"/>
    </xf>
    <xf numFmtId="0" fontId="7" fillId="25" borderId="11" xfId="0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 wrapText="1"/>
    </xf>
    <xf numFmtId="0" fontId="17" fillId="26" borderId="8" xfId="0" applyFont="1" applyFill="1" applyBorder="1" applyAlignment="1">
      <alignment horizontal="center" vertical="center" wrapText="1"/>
    </xf>
    <xf numFmtId="0" fontId="17" fillId="26" borderId="11" xfId="0" applyFont="1" applyFill="1" applyBorder="1" applyAlignment="1">
      <alignment horizontal="center" vertical="center" wrapText="1"/>
    </xf>
    <xf numFmtId="0" fontId="7" fillId="25" borderId="7" xfId="0" applyFont="1" applyFill="1" applyBorder="1" applyAlignment="1" applyProtection="1">
      <alignment horizontal="center" vertical="center"/>
      <protection locked="0"/>
    </xf>
    <xf numFmtId="0" fontId="7" fillId="25" borderId="8" xfId="0" applyFont="1" applyFill="1" applyBorder="1" applyAlignment="1" applyProtection="1">
      <alignment horizontal="center" vertical="center"/>
      <protection locked="0"/>
    </xf>
    <xf numFmtId="0" fontId="7" fillId="25" borderId="11" xfId="0" applyFont="1" applyFill="1" applyBorder="1" applyAlignment="1" applyProtection="1">
      <alignment horizontal="center" vertical="center"/>
      <protection locked="0"/>
    </xf>
    <xf numFmtId="0" fontId="7" fillId="24" borderId="7" xfId="0" applyFont="1" applyFill="1" applyBorder="1" applyAlignment="1">
      <alignment horizontal="center" vertical="center"/>
    </xf>
    <xf numFmtId="0" fontId="7" fillId="24" borderId="8" xfId="0" applyFont="1" applyFill="1" applyBorder="1" applyAlignment="1">
      <alignment horizontal="center" vertical="center"/>
    </xf>
    <xf numFmtId="0" fontId="7" fillId="24" borderId="11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28" fillId="18" borderId="0" xfId="0" applyFont="1" applyFill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0" fillId="19" borderId="0" xfId="0" applyFont="1" applyFill="1" applyAlignment="1">
      <alignment horizontal="center" vertical="center"/>
    </xf>
    <xf numFmtId="0" fontId="28" fillId="12" borderId="0" xfId="0" applyFont="1" applyFill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14" fillId="14" borderId="0" xfId="0" applyFont="1" applyFill="1" applyAlignment="1">
      <alignment horizontal="center" vertical="center" wrapText="1"/>
    </xf>
    <xf numFmtId="164" fontId="5" fillId="6" borderId="34" xfId="0" applyNumberFormat="1" applyFont="1" applyFill="1" applyBorder="1" applyAlignment="1">
      <alignment horizontal="center" vertical="center"/>
    </xf>
    <xf numFmtId="164" fontId="5" fillId="6" borderId="31" xfId="0" applyNumberFormat="1" applyFont="1" applyFill="1" applyBorder="1" applyAlignment="1">
      <alignment horizontal="center" vertical="center"/>
    </xf>
    <xf numFmtId="164" fontId="18" fillId="10" borderId="34" xfId="0" applyNumberFormat="1" applyFont="1" applyFill="1" applyBorder="1" applyAlignment="1">
      <alignment horizontal="center" vertical="center"/>
    </xf>
    <xf numFmtId="164" fontId="18" fillId="10" borderId="31" xfId="0" applyNumberFormat="1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18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164" fontId="2" fillId="0" borderId="17" xfId="0" applyNumberFormat="1" applyFont="1" applyBorder="1" applyAlignment="1">
      <alignment horizontal="center" vertical="center"/>
    </xf>
    <xf numFmtId="0" fontId="18" fillId="11" borderId="34" xfId="0" applyFont="1" applyFill="1" applyBorder="1" applyAlignment="1">
      <alignment horizontal="center"/>
    </xf>
    <xf numFmtId="0" fontId="18" fillId="11" borderId="31" xfId="0" applyFont="1" applyFill="1" applyBorder="1" applyAlignment="1">
      <alignment horizontal="center"/>
    </xf>
    <xf numFmtId="164" fontId="5" fillId="2" borderId="34" xfId="1" applyNumberFormat="1" applyFont="1" applyBorder="1" applyAlignment="1">
      <alignment horizontal="center" vertical="center"/>
    </xf>
    <xf numFmtId="164" fontId="5" fillId="2" borderId="31" xfId="1" applyNumberFormat="1" applyFont="1" applyBorder="1" applyAlignment="1">
      <alignment horizontal="center" vertical="center"/>
    </xf>
    <xf numFmtId="0" fontId="18" fillId="11" borderId="35" xfId="0" applyFont="1" applyFill="1" applyBorder="1" applyAlignment="1">
      <alignment horizontal="center" vertical="center"/>
    </xf>
    <xf numFmtId="0" fontId="18" fillId="11" borderId="36" xfId="0" applyFont="1" applyFill="1" applyBorder="1" applyAlignment="1">
      <alignment horizontal="center" vertical="center"/>
    </xf>
    <xf numFmtId="0" fontId="4" fillId="2" borderId="35" xfId="1" applyFont="1" applyBorder="1" applyAlignment="1">
      <alignment horizontal="center" vertical="center"/>
    </xf>
    <xf numFmtId="0" fontId="4" fillId="2" borderId="36" xfId="1" applyFont="1" applyBorder="1" applyAlignment="1">
      <alignment horizontal="center" vertical="center"/>
    </xf>
    <xf numFmtId="0" fontId="4" fillId="6" borderId="35" xfId="0" applyFont="1" applyFill="1" applyBorder="1" applyAlignment="1">
      <alignment horizontal="center" vertical="center"/>
    </xf>
    <xf numFmtId="0" fontId="4" fillId="6" borderId="36" xfId="0" applyFont="1" applyFill="1" applyBorder="1" applyAlignment="1">
      <alignment horizontal="center" vertical="center"/>
    </xf>
    <xf numFmtId="0" fontId="7" fillId="20" borderId="35" xfId="0" applyFont="1" applyFill="1" applyBorder="1" applyAlignment="1">
      <alignment horizontal="center" vertical="center"/>
    </xf>
    <xf numFmtId="0" fontId="7" fillId="20" borderId="36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28" fillId="0" borderId="0" xfId="0" applyFont="1" applyFill="1" applyAlignment="1">
      <alignment horizontal="center" vertical="center" wrapText="1"/>
    </xf>
    <xf numFmtId="0" fontId="0" fillId="0" borderId="2" xfId="0" applyBorder="1"/>
    <xf numFmtId="0" fontId="5" fillId="21" borderId="44" xfId="2" applyFont="1" applyFill="1" applyBorder="1" applyAlignment="1">
      <alignment horizontal="center" vertical="center"/>
    </xf>
    <xf numFmtId="0" fontId="5" fillId="21" borderId="10" xfId="2" applyFont="1" applyFill="1" applyBorder="1" applyAlignment="1">
      <alignment horizontal="center" vertical="center"/>
    </xf>
    <xf numFmtId="0" fontId="5" fillId="21" borderId="45" xfId="2" applyFont="1" applyFill="1" applyBorder="1" applyAlignment="1">
      <alignment horizontal="center" vertical="center"/>
    </xf>
  </cellXfs>
  <cellStyles count="5">
    <cellStyle name="60% - Énfasis2" xfId="1" builtinId="36"/>
    <cellStyle name="60% - Énfasis4" xfId="2" builtinId="44"/>
    <cellStyle name="60% - Énfasis6" xfId="3" builtinId="52"/>
    <cellStyle name="Normal" xfId="0" builtinId="0"/>
    <cellStyle name="Porcentaje" xfId="4" builtinId="5"/>
  </cellStyles>
  <dxfs count="107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color theme="0"/>
      </font>
      <fill>
        <patternFill>
          <bgColor rgb="FFED7F3B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rgb="FFAF6CF8"/>
        </patternFill>
      </fill>
    </dxf>
    <dxf>
      <font>
        <color theme="0"/>
      </font>
      <fill>
        <patternFill>
          <bgColor rgb="FF8FA2FF"/>
        </patternFill>
      </fill>
    </dxf>
    <dxf>
      <font>
        <color theme="0"/>
      </font>
      <fill>
        <patternFill>
          <bgColor rgb="FFE05656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</dxfs>
  <tableStyles count="0" defaultTableStyle="TableStyleMedium2" defaultPivotStyle="PivotStyleLight16"/>
  <colors>
    <mruColors>
      <color rgb="FFF30B11"/>
      <color rgb="FFDD4B4B"/>
      <color rgb="FFE095F5"/>
      <color rgb="FFFFD1D1"/>
      <color rgb="FFFAB0B0"/>
      <color rgb="FFEF5F5F"/>
      <color rgb="FFAF6CF8"/>
      <color rgb="FFCC00FF"/>
      <color rgb="FF61953D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microsoft.com/office/2007/relationships/slicerCache" Target="slicerCaches/slicerCache1.xml"/><Relationship Id="rId7" Type="http://schemas.microsoft.com/office/2007/relationships/slicerCache" Target="slicerCaches/slicerCache5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4.xml"/><Relationship Id="rId11" Type="http://schemas.openxmlformats.org/officeDocument/2006/relationships/sheetMetadata" Target="metadata.xml"/><Relationship Id="rId5" Type="http://schemas.microsoft.com/office/2007/relationships/slicerCache" Target="slicerCaches/slicerCache3.xml"/><Relationship Id="rId10" Type="http://schemas.openxmlformats.org/officeDocument/2006/relationships/sharedStrings" Target="sharedStrings.xml"/><Relationship Id="rId4" Type="http://schemas.microsoft.com/office/2007/relationships/slicerCache" Target="slicerCaches/slicerCache2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31</xdr:col>
      <xdr:colOff>191461</xdr:colOff>
      <xdr:row>2</xdr:row>
      <xdr:rowOff>120256</xdr:rowOff>
    </xdr:from>
    <xdr:to>
      <xdr:col>34</xdr:col>
      <xdr:colOff>136722</xdr:colOff>
      <xdr:row>26</xdr:row>
      <xdr:rowOff>153387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>
          <a:grpSpLocks noChangeAspect="1"/>
        </xdr:cNvGrpSpPr>
      </xdr:nvGrpSpPr>
      <xdr:grpSpPr>
        <a:xfrm>
          <a:off x="13878886" y="796531"/>
          <a:ext cx="4402961" cy="6157706"/>
          <a:chOff x="12198569" y="893379"/>
          <a:chExt cx="4445191" cy="6135245"/>
        </a:xfrm>
      </xdr:grpSpPr>
      <mc:AlternateContent xmlns:mc="http://schemas.openxmlformats.org/markup-compatibility/2006">
        <mc:Choice xmlns:a14="http://schemas.microsoft.com/office/drawing/2010/main" Requires="a14">
          <xdr:pic>
            <xdr:nvPicPr>
              <xdr:cNvPr id="23" name="Imagen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Control!$A$1:$K$37" spid="_x0000_s3542"/>
                  </a:ext>
                </a:extLst>
              </xdr:cNvPicPr>
            </xdr:nvPicPr>
            <xdr:blipFill>
              <a:blip xmlns:r="http://schemas.openxmlformats.org/officeDocument/2006/relationships" r:embed="rId1"/>
              <a:stretch>
                <a:fillRect/>
              </a:stretch>
            </xdr:blipFill>
            <xdr:spPr bwMode="auto">
              <a:xfrm>
                <a:off x="12198569" y="893379"/>
                <a:ext cx="4445191" cy="613524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/>
      </mc:AlternateContent>
      <xdr:sp macro="[0]!MostrarMateriasFaltantesIngeniero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Aspect="1"/>
          </xdr:cNvSpPr>
        </xdr:nvSpPr>
        <xdr:spPr>
          <a:xfrm>
            <a:off x="14537315" y="3280882"/>
            <a:ext cx="899153" cy="356750"/>
          </a:xfrm>
          <a:prstGeom prst="roundRect">
            <a:avLst>
              <a:gd name="adj" fmla="val 18362"/>
            </a:avLst>
          </a:prstGeom>
          <a:solidFill>
            <a:srgbClr val="DD4B4B">
              <a:alpha val="63137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  <xdr:sp macro="[0]!MostrarMateriasDisponibl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spect="1"/>
          </xdr:cNvSpPr>
        </xdr:nvSpPr>
        <xdr:spPr>
          <a:xfrm>
            <a:off x="12295097" y="5134439"/>
            <a:ext cx="899153" cy="356750"/>
          </a:xfrm>
          <a:prstGeom prst="roundRect">
            <a:avLst>
              <a:gd name="adj" fmla="val 18362"/>
            </a:avLst>
          </a:prstGeom>
          <a:solidFill>
            <a:schemeClr val="accent2">
              <a:alpha val="63137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</xdr:grpSp>
    <xdr:clientData/>
  </xdr:twoCellAnchor>
  <xdr:twoCellAnchor editAs="absolute">
    <xdr:from>
      <xdr:col>13</xdr:col>
      <xdr:colOff>166890</xdr:colOff>
      <xdr:row>6</xdr:row>
      <xdr:rowOff>19817</xdr:rowOff>
    </xdr:from>
    <xdr:to>
      <xdr:col>15</xdr:col>
      <xdr:colOff>173580</xdr:colOff>
      <xdr:row>7</xdr:row>
      <xdr:rowOff>181235</xdr:rowOff>
    </xdr:to>
    <xdr:grpSp>
      <xdr:nvGrpSpPr>
        <xdr:cNvPr id="9" name="Grupo 8" descr="LIMPIAR FILTROS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0139565" y="1867667"/>
          <a:ext cx="501990" cy="523368"/>
          <a:chOff x="10443368" y="889729"/>
          <a:chExt cx="516646" cy="516647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LimpiarEstado" textlink="">
        <xdr:nvSpPr>
          <xdr:cNvPr id="7" name="Forma libre: forma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0631685" y="889729"/>
            <a:ext cx="328329" cy="328329"/>
          </a:xfrm>
          <a:custGeom>
            <a:avLst/>
            <a:gdLst>
              <a:gd name="connsiteX0" fmla="*/ 299889 w 328329"/>
              <a:gd name="connsiteY0" fmla="*/ 45854 h 328329"/>
              <a:gd name="connsiteX1" fmla="*/ 282476 w 328329"/>
              <a:gd name="connsiteY1" fmla="*/ 45854 h 328329"/>
              <a:gd name="connsiteX2" fmla="*/ 282476 w 328329"/>
              <a:gd name="connsiteY2" fmla="*/ 28441 h 328329"/>
              <a:gd name="connsiteX3" fmla="*/ 299889 w 328329"/>
              <a:gd name="connsiteY3" fmla="*/ 28441 h 328329"/>
              <a:gd name="connsiteX4" fmla="*/ 299889 w 328329"/>
              <a:gd name="connsiteY4" fmla="*/ 45854 h 328329"/>
              <a:gd name="connsiteX5" fmla="*/ 317302 w 328329"/>
              <a:gd name="connsiteY5" fmla="*/ 11028 h 328329"/>
              <a:gd name="connsiteX6" fmla="*/ 274737 w 328329"/>
              <a:gd name="connsiteY6" fmla="*/ 3934 h 328329"/>
              <a:gd name="connsiteX7" fmla="*/ 240556 w 328329"/>
              <a:gd name="connsiteY7" fmla="*/ 35535 h 328329"/>
              <a:gd name="connsiteX8" fmla="*/ 129629 w 328329"/>
              <a:gd name="connsiteY8" fmla="*/ 176773 h 328329"/>
              <a:gd name="connsiteX9" fmla="*/ 43855 w 328329"/>
              <a:gd name="connsiteY9" fmla="*/ 91644 h 328329"/>
              <a:gd name="connsiteX10" fmla="*/ 25797 w 328329"/>
              <a:gd name="connsiteY10" fmla="*/ 91644 h 328329"/>
              <a:gd name="connsiteX11" fmla="*/ 0 w 328329"/>
              <a:gd name="connsiteY11" fmla="*/ 117440 h 328329"/>
              <a:gd name="connsiteX12" fmla="*/ 210889 w 328329"/>
              <a:gd name="connsiteY12" fmla="*/ 328330 h 328329"/>
              <a:gd name="connsiteX13" fmla="*/ 236686 w 328329"/>
              <a:gd name="connsiteY13" fmla="*/ 302533 h 328329"/>
              <a:gd name="connsiteX14" fmla="*/ 236686 w 328329"/>
              <a:gd name="connsiteY14" fmla="*/ 284475 h 328329"/>
              <a:gd name="connsiteX15" fmla="*/ 151557 w 328329"/>
              <a:gd name="connsiteY15" fmla="*/ 198701 h 328329"/>
              <a:gd name="connsiteX16" fmla="*/ 292795 w 328329"/>
              <a:gd name="connsiteY16" fmla="*/ 87774 h 328329"/>
              <a:gd name="connsiteX17" fmla="*/ 324396 w 328329"/>
              <a:gd name="connsiteY17" fmla="*/ 53593 h 328329"/>
              <a:gd name="connsiteX18" fmla="*/ 317302 w 328329"/>
              <a:gd name="connsiteY18" fmla="*/ 11028 h 32832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328329" h="328329">
                <a:moveTo>
                  <a:pt x="299889" y="45854"/>
                </a:moveTo>
                <a:cubicBezTo>
                  <a:pt x="294729" y="51013"/>
                  <a:pt x="286990" y="51013"/>
                  <a:pt x="282476" y="45854"/>
                </a:cubicBezTo>
                <a:cubicBezTo>
                  <a:pt x="277316" y="40695"/>
                  <a:pt x="277316" y="32956"/>
                  <a:pt x="282476" y="28441"/>
                </a:cubicBezTo>
                <a:cubicBezTo>
                  <a:pt x="287635" y="23927"/>
                  <a:pt x="295374" y="23282"/>
                  <a:pt x="299889" y="28441"/>
                </a:cubicBezTo>
                <a:cubicBezTo>
                  <a:pt x="304403" y="33601"/>
                  <a:pt x="304403" y="41340"/>
                  <a:pt x="299889" y="45854"/>
                </a:cubicBezTo>
                <a:close/>
                <a:moveTo>
                  <a:pt x="317302" y="11028"/>
                </a:moveTo>
                <a:cubicBezTo>
                  <a:pt x="305693" y="-580"/>
                  <a:pt x="288925" y="-3160"/>
                  <a:pt x="274737" y="3934"/>
                </a:cubicBezTo>
                <a:cubicBezTo>
                  <a:pt x="266998" y="7159"/>
                  <a:pt x="240556" y="35535"/>
                  <a:pt x="240556" y="35535"/>
                </a:cubicBezTo>
                <a:cubicBezTo>
                  <a:pt x="201216" y="74876"/>
                  <a:pt x="148977" y="139368"/>
                  <a:pt x="129629" y="176773"/>
                </a:cubicBezTo>
                <a:lnTo>
                  <a:pt x="43855" y="91644"/>
                </a:lnTo>
                <a:cubicBezTo>
                  <a:pt x="38695" y="86484"/>
                  <a:pt x="30956" y="86484"/>
                  <a:pt x="25797" y="91644"/>
                </a:cubicBezTo>
                <a:lnTo>
                  <a:pt x="0" y="117440"/>
                </a:lnTo>
                <a:lnTo>
                  <a:pt x="210889" y="328330"/>
                </a:lnTo>
                <a:lnTo>
                  <a:pt x="236686" y="302533"/>
                </a:lnTo>
                <a:cubicBezTo>
                  <a:pt x="241846" y="297374"/>
                  <a:pt x="241846" y="289635"/>
                  <a:pt x="236686" y="284475"/>
                </a:cubicBezTo>
                <a:lnTo>
                  <a:pt x="151557" y="198701"/>
                </a:lnTo>
                <a:cubicBezTo>
                  <a:pt x="189607" y="178708"/>
                  <a:pt x="253454" y="127114"/>
                  <a:pt x="292795" y="87774"/>
                </a:cubicBezTo>
                <a:cubicBezTo>
                  <a:pt x="292795" y="87774"/>
                  <a:pt x="321171" y="60687"/>
                  <a:pt x="324396" y="53593"/>
                </a:cubicBezTo>
                <a:cubicBezTo>
                  <a:pt x="331490" y="39405"/>
                  <a:pt x="328910" y="22637"/>
                  <a:pt x="317302" y="11028"/>
                </a:cubicBezTo>
                <a:close/>
              </a:path>
            </a:pathLst>
          </a:custGeom>
          <a:solidFill>
            <a:srgbClr val="C00000"/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  <xdr:sp macro="[0]!LimpiarEstado" textlink="">
        <xdr:nvSpPr>
          <xdr:cNvPr id="8" name="Forma libre: forma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0443368" y="1027162"/>
            <a:ext cx="379214" cy="379214"/>
          </a:xfrm>
          <a:custGeom>
            <a:avLst/>
            <a:gdLst>
              <a:gd name="connsiteX0" fmla="*/ 3870 w 379214"/>
              <a:gd name="connsiteY0" fmla="*/ 164455 h 379214"/>
              <a:gd name="connsiteX1" fmla="*/ 3870 w 379214"/>
              <a:gd name="connsiteY1" fmla="*/ 182513 h 379214"/>
              <a:gd name="connsiteX2" fmla="*/ 161875 w 379214"/>
              <a:gd name="connsiteY2" fmla="*/ 340519 h 379214"/>
              <a:gd name="connsiteX3" fmla="*/ 276027 w 379214"/>
              <a:gd name="connsiteY3" fmla="*/ 226368 h 379214"/>
              <a:gd name="connsiteX4" fmla="*/ 285055 w 379214"/>
              <a:gd name="connsiteY4" fmla="*/ 235397 h 379214"/>
              <a:gd name="connsiteX5" fmla="*/ 179288 w 379214"/>
              <a:gd name="connsiteY5" fmla="*/ 357932 h 379214"/>
              <a:gd name="connsiteX6" fmla="*/ 196701 w 379214"/>
              <a:gd name="connsiteY6" fmla="*/ 375345 h 379214"/>
              <a:gd name="connsiteX7" fmla="*/ 214759 w 379214"/>
              <a:gd name="connsiteY7" fmla="*/ 375345 h 379214"/>
              <a:gd name="connsiteX8" fmla="*/ 379214 w 379214"/>
              <a:gd name="connsiteY8" fmla="*/ 210889 h 379214"/>
              <a:gd name="connsiteX9" fmla="*/ 168325 w 379214"/>
              <a:gd name="connsiteY9" fmla="*/ 0 h 379214"/>
              <a:gd name="connsiteX10" fmla="*/ 3870 w 379214"/>
              <a:gd name="connsiteY10" fmla="*/ 164455 h 37921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379214" h="379214">
                <a:moveTo>
                  <a:pt x="3870" y="164455"/>
                </a:moveTo>
                <a:cubicBezTo>
                  <a:pt x="-1290" y="169614"/>
                  <a:pt x="-1290" y="177354"/>
                  <a:pt x="3870" y="182513"/>
                </a:cubicBezTo>
                <a:lnTo>
                  <a:pt x="161875" y="340519"/>
                </a:lnTo>
                <a:lnTo>
                  <a:pt x="276027" y="226368"/>
                </a:lnTo>
                <a:lnTo>
                  <a:pt x="285055" y="235397"/>
                </a:lnTo>
                <a:lnTo>
                  <a:pt x="179288" y="357932"/>
                </a:lnTo>
                <a:lnTo>
                  <a:pt x="196701" y="375345"/>
                </a:lnTo>
                <a:cubicBezTo>
                  <a:pt x="201861" y="380504"/>
                  <a:pt x="209600" y="380504"/>
                  <a:pt x="214759" y="375345"/>
                </a:cubicBezTo>
                <a:lnTo>
                  <a:pt x="379214" y="210889"/>
                </a:lnTo>
                <a:lnTo>
                  <a:pt x="168325" y="0"/>
                </a:lnTo>
                <a:lnTo>
                  <a:pt x="3870" y="164455"/>
                </a:lnTo>
                <a:close/>
              </a:path>
            </a:pathLst>
          </a:custGeom>
          <a:solidFill>
            <a:schemeClr val="accent4">
              <a:lumMod val="40000"/>
              <a:lumOff val="60000"/>
            </a:schemeClr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</xdr:grpSp>
    <xdr:clientData/>
  </xdr:twoCellAnchor>
  <xdr:twoCellAnchor editAs="absolute">
    <xdr:from>
      <xdr:col>4</xdr:col>
      <xdr:colOff>3970550</xdr:colOff>
      <xdr:row>3</xdr:row>
      <xdr:rowOff>18214</xdr:rowOff>
    </xdr:from>
    <xdr:to>
      <xdr:col>5</xdr:col>
      <xdr:colOff>189330</xdr:colOff>
      <xdr:row>6</xdr:row>
      <xdr:rowOff>219330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Cursar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885317"/>
              <a:ext cx="1438422" cy="11864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3970550</xdr:colOff>
      <xdr:row>6</xdr:row>
      <xdr:rowOff>257916</xdr:rowOff>
    </xdr:from>
    <xdr:to>
      <xdr:col>5</xdr:col>
      <xdr:colOff>189330</xdr:colOff>
      <xdr:row>9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Electiva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lec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2110364"/>
              <a:ext cx="1438422" cy="9550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622001</xdr:colOff>
      <xdr:row>6</xdr:row>
      <xdr:rowOff>16743</xdr:rowOff>
    </xdr:from>
    <xdr:to>
      <xdr:col>4</xdr:col>
      <xdr:colOff>3853409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Modalidad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al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1869191"/>
              <a:ext cx="3236450" cy="11962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622001</xdr:colOff>
      <xdr:row>3</xdr:row>
      <xdr:rowOff>18214</xdr:rowOff>
    </xdr:from>
    <xdr:to>
      <xdr:col>4</xdr:col>
      <xdr:colOff>3853409</xdr:colOff>
      <xdr:row>5</xdr:row>
      <xdr:rowOff>178714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Estado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885317"/>
              <a:ext cx="3236450" cy="9356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2953</xdr:colOff>
      <xdr:row>3</xdr:row>
      <xdr:rowOff>18214</xdr:rowOff>
    </xdr:from>
    <xdr:to>
      <xdr:col>4</xdr:col>
      <xdr:colOff>503701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NIVEL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I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2" y="885317"/>
              <a:ext cx="1078817" cy="21800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4457173</xdr:colOff>
      <xdr:row>3</xdr:row>
      <xdr:rowOff>2842</xdr:rowOff>
    </xdr:from>
    <xdr:to>
      <xdr:col>4</xdr:col>
      <xdr:colOff>4751336</xdr:colOff>
      <xdr:row>3</xdr:row>
      <xdr:rowOff>293339</xdr:rowOff>
    </xdr:to>
    <xdr:pic macro="[0]!MostrarMateriasDisponibles">
      <xdr:nvPicPr>
        <xdr:cNvPr id="14" name="Gráfico 13" descr="Ojo con relleno sólid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236194" y="869945"/>
          <a:ext cx="294163" cy="2904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</xdr:colOff>
          <xdr:row>2</xdr:row>
          <xdr:rowOff>180975</xdr:rowOff>
        </xdr:from>
        <xdr:to>
          <xdr:col>12</xdr:col>
          <xdr:colOff>123825</xdr:colOff>
          <xdr:row>4</xdr:row>
          <xdr:rowOff>0</xdr:rowOff>
        </xdr:to>
        <xdr:sp macro="" textlink="">
          <xdr:nvSpPr>
            <xdr:cNvPr id="1876" name="TextBox1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0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114300</xdr:colOff>
          <xdr:row>2</xdr:row>
          <xdr:rowOff>180975</xdr:rowOff>
        </xdr:from>
        <xdr:to>
          <xdr:col>12</xdr:col>
          <xdr:colOff>247650</xdr:colOff>
          <xdr:row>4</xdr:row>
          <xdr:rowOff>0</xdr:rowOff>
        </xdr:to>
        <xdr:sp macro="" textlink="">
          <xdr:nvSpPr>
            <xdr:cNvPr id="1731" name="ComboBox1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4238625</xdr:colOff>
          <xdr:row>10</xdr:row>
          <xdr:rowOff>66675</xdr:rowOff>
        </xdr:from>
        <xdr:to>
          <xdr:col>4</xdr:col>
          <xdr:colOff>4524375</xdr:colOff>
          <xdr:row>10</xdr:row>
          <xdr:rowOff>352425</xdr:rowOff>
        </xdr:to>
        <xdr:sp macro="" textlink="">
          <xdr:nvSpPr>
            <xdr:cNvPr id="3269" name="CommandButton1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0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lectiva" xr10:uid="{5237DF4E-465B-4BCF-80EC-6051F3F807D9}" sourceName="Electiva">
  <extLst>
    <x:ext xmlns:x15="http://schemas.microsoft.com/office/spreadsheetml/2010/11/main" uri="{2F2917AC-EB37-4324-AD4E-5DD8C200BD13}">
      <x15:tableSlicerCache tableId="1" column="18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dalidad" xr10:uid="{3D0E8E42-B1B3-437D-8783-B046B50CEBFA}" sourceName="Modalidad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ursar" xr10:uid="{E6069128-784B-4B09-857C-613278A673F8}" sourceName="Cursar">
  <extLst>
    <x:ext xmlns:x15="http://schemas.microsoft.com/office/spreadsheetml/2010/11/main" uri="{2F2917AC-EB37-4324-AD4E-5DD8C200BD13}">
      <x15:tableSlicerCache tableId="1" column="17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IVEL" xr10:uid="{1FF9495C-EC02-4E56-B713-7CC1A6A5EB40}" sourceName="Nivel">
  <extLst>
    <x:ext xmlns:x15="http://schemas.microsoft.com/office/spreadsheetml/2010/11/main" uri="{2F2917AC-EB37-4324-AD4E-5DD8C200BD13}">
      <x15:tableSlicerCache tableId="1" column="22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F03FB86B-3F40-4B53-A462-CE7541016A1A}" sourceName="Estado">
  <extLst>
    <x:ext xmlns:x15="http://schemas.microsoft.com/office/spreadsheetml/2010/11/main" uri="{2F2917AC-EB37-4324-AD4E-5DD8C200BD13}">
      <x15:tableSlicerCache tableId="1" column="10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lectiva" xr10:uid="{A4C92E71-5D15-494F-A3A6-FA35FBFAD814}" cache="SegmentaciónDeDatos_Electiva" caption="Electiva" lockedPosition="1" rowHeight="241300"/>
  <slicer name="Modalidad" xr10:uid="{024B880A-2AB3-4DA4-9A45-5FA92E705829}" cache="SegmentaciónDeDatos_Modalidad" caption="Modalidad" columnCount="3" lockedPosition="1" rowHeight="241300"/>
  <slicer name="Cursar" xr10:uid="{FB8F431E-67FF-4D86-9BE2-731CBE97FCB3}" cache="SegmentaciónDeDatos_Cursar" caption="Cursar" lockedPosition="1" rowHeight="241300"/>
  <slicer name="NIVEL" xr10:uid="{10E7EDA2-132F-4F7B-B18E-6C01274FEDDD}" cache="SegmentaciónDeDatos_NIVEL" caption="Nivel" lockedPosition="1" rowHeight="241300"/>
  <slicer name="Estado" xr10:uid="{F0BE9754-62F0-486F-87D3-DE1372F2520F}" cache="SegmentaciónDeDatos_Estado" caption="Estado" columnCount="2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DE02F8-A7E4-4E62-A88C-FB36C786FBA6}" name="Tabla1" displayName="Tabla1" ref="B11:AE67" totalsRowShown="0" headerRowDxfId="97" dataDxfId="95" headerRowBorderDxfId="96" tableBorderDxfId="94">
  <autoFilter ref="B11:AE67" xr:uid="{79DE02F8-A7E4-4E62-A88C-FB36C786FBA6}"/>
  <sortState xmlns:xlrd2="http://schemas.microsoft.com/office/spreadsheetml/2017/richdata2" ref="B12:AE67">
    <sortCondition ref="AE12:AE67"/>
  </sortState>
  <tableColumns count="30">
    <tableColumn id="1" xr3:uid="{A24D5FA6-E447-4A60-BA76-E48B47DF6268}" name="Numero" dataDxfId="93"/>
    <tableColumn id="5" xr3:uid="{41D6DF65-D806-4685-B39B-97EEEBC6388E}" name="Codigo" dataDxfId="92"/>
    <tableColumn id="22" xr3:uid="{3E504640-98A8-4713-94D4-B026959A359F}" name="Nivel" dataDxfId="91"/>
    <tableColumn id="2" xr3:uid="{F93819E9-0871-4C42-AF48-CDBD4E884339}" name="Materia" dataDxfId="90"/>
    <tableColumn id="6" xr3:uid="{772036BF-1C2E-4AD0-985E-565A762A39C4}" name="Icono" dataDxfId="89">
      <calculatedColumnFormula>_xlfn.XLOOKUP(Tabla1[[#This Row],[Estado]],Control!$C$33:$C$35,Control!$B$33:$B$35,"")</calculatedColumnFormula>
    </tableColumn>
    <tableColumn id="10" xr3:uid="{474D2529-3166-45BF-8B3E-D040442EFC54}" name="Estado" dataDxfId="88"/>
    <tableColumn id="4" xr3:uid="{9F7C669A-5795-4BB7-8E16-3107D2BFF0BE}" name="Nota" dataDxfId="87"/>
    <tableColumn id="3" xr3:uid="{3702BBEF-C11E-4D4E-BC12-4BD2121D3EC8}" name="Modalidad" dataDxfId="86"/>
    <tableColumn id="17" xr3:uid="{22536584-898D-4A19-8480-D3342C257AFD}" name="Cursar" dataDxfId="85">
      <calculatedColumnFormula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calculatedColumnFormula>
    </tableColumn>
    <tableColumn id="18" xr3:uid="{4B13752F-4D7C-4A1D-B36C-54BA596A3010}" name="Electiva" dataDxfId="84"/>
    <tableColumn id="21" xr3:uid="{D641437E-3737-44F7-9A53-4CE116B1C4C8}" name="Carga Horaria" dataDxfId="83"/>
    <tableColumn id="7" xr3:uid="{6D429D2C-2291-4FEF-948F-E02261FBF835}" name="Puntos" dataDxfId="82"/>
    <tableColumn id="8" xr3:uid="{94D1AD21-C77F-4D00-91E2-B914785E3402}" name="R1" dataDxfId="81" dataCellStyle="60% - Énfasis4">
      <calculatedColumnFormula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calculatedColumnFormula>
    </tableColumn>
    <tableColumn id="9" xr3:uid="{CCD0B686-36DF-4737-800C-BE33AC02FBF8}" name="R2" dataDxfId="80" dataCellStyle="60% - Énfasis4">
      <calculatedColumnFormula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calculatedColumnFormula>
    </tableColumn>
    <tableColumn id="11" xr3:uid="{964C3D77-5C6F-4B6E-8C6D-8AD200894530}" name="R3" dataDxfId="79" dataCellStyle="60% - Énfasis4">
      <calculatedColumnFormula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calculatedColumnFormula>
    </tableColumn>
    <tableColumn id="12" xr3:uid="{15F19C93-1E23-4EC9-8F6A-BCF6F03A24EB}" name="R4" dataDxfId="78" dataCellStyle="60% - Énfasis4">
      <calculatedColumnFormula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calculatedColumnFormula>
    </tableColumn>
    <tableColumn id="13" xr3:uid="{43717CD1-6668-4EF7-8BF8-6C1843CB6E18}" name="R5" dataDxfId="77" dataCellStyle="60% - Énfasis4">
      <calculatedColumnFormula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calculatedColumnFormula>
    </tableColumn>
    <tableColumn id="14" xr3:uid="{DDEEC8DE-4464-4365-AF98-2EBA23CB0A64}" name="R6" dataDxfId="76" dataCellStyle="60% - Énfasis4">
      <calculatedColumnFormula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calculatedColumnFormula>
    </tableColumn>
    <tableColumn id="15" xr3:uid="{0AA50233-9BFE-41CB-937A-9DA4946D1B7B}" name="A1" dataDxfId="75" dataCellStyle="60% - Énfasis4">
      <calculatedColumnFormula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calculatedColumnFormula>
    </tableColumn>
    <tableColumn id="29" xr3:uid="{9A724B53-A6E8-4042-A0F6-AEFBFB36F8AA}" name="A2" dataDxfId="74" dataCellStyle="60% - Énfasis4">
      <calculatedColumnFormula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calculatedColumnFormula>
    </tableColumn>
    <tableColumn id="28" xr3:uid="{814A97DD-EB86-45C3-B066-171B729779CA}" name="A3" dataDxfId="73" dataCellStyle="60% - Énfasis4">
      <calculatedColumnFormula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calculatedColumnFormula>
    </tableColumn>
    <tableColumn id="27" xr3:uid="{3D577336-7F30-4307-BDE8-C07F23E9A413}" name="A4" dataDxfId="72" dataCellStyle="60% - Énfasis4">
      <calculatedColumnFormula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calculatedColumnFormula>
    </tableColumn>
    <tableColumn id="26" xr3:uid="{395149A3-FD7B-47D7-99AF-D2F6627E20EA}" name="A5" dataDxfId="71" dataCellStyle="60% - Énfasis4">
      <calculatedColumnFormula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calculatedColumnFormula>
    </tableColumn>
    <tableColumn id="25" xr3:uid="{632C96C9-9176-4AD5-A377-A0A59DC6BA75}" name="A6" dataDxfId="70" dataCellStyle="60% - Énfasis4">
      <calculatedColumnFormula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calculatedColumnFormula>
    </tableColumn>
    <tableColumn id="24" xr3:uid="{47E0FF33-0E1B-4831-9305-A56E6B9AD900}" name="A7" dataDxfId="69" dataCellStyle="60% - Énfasis4">
      <calculatedColumnFormula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calculatedColumnFormula>
    </tableColumn>
    <tableColumn id="31" xr3:uid="{32316385-A3C3-47B5-A82D-4930BDD5BCA5}" name="A8" dataDxfId="68" dataCellStyle="60% - Énfasis4">
      <calculatedColumnFormula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calculatedColumnFormula>
    </tableColumn>
    <tableColumn id="30" xr3:uid="{7E1EC2A1-FE32-4EDC-9240-1030B39F3FB9}" name="A9" dataDxfId="67" dataCellStyle="60% - Énfasis4">
      <calculatedColumnFormula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calculatedColumnFormula>
    </tableColumn>
    <tableColumn id="19" xr3:uid="{BAD87C3B-EAD5-499D-A8F5-51BE0B89B7BC}" name="HALLAR" dataDxfId="66" dataCellStyle="60% - Énfasis4">
      <calculatedColumnFormula>ISNUMBER(SEARCH($H$4,Tabla1[[#This Row],[Materia]],1))</calculatedColumnFormula>
    </tableColumn>
    <tableColumn id="20" xr3:uid="{BE35400B-14F7-472D-AD27-BDFC43C0D8E5}" name="FILTRAR" dataDxfId="65" dataCellStyle="60% - Énfasis4">
      <calculatedColumnFormula>IFERROR(IF(
    (COUNTIF(Tabla1[[#This Row],[R1]:[A9]], _xlfn.XLOOKUP($H$4,Tabla1[Materia],Tabla1[Numero],""))) &gt; 0,
    TRUE,
    FALSE
),FALSE)</calculatedColumnFormula>
    </tableColumn>
    <tableColumn id="23" xr3:uid="{3B88E2D4-65F2-41F5-8161-896AECC66145}" name="ORDEN" dataDxfId="64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A2A550-1C17-438E-B7AC-1C04EE1EC366}" name="Tabla2" displayName="Tabla2" ref="C54:C61" totalsRowShown="0" dataDxfId="63">
  <autoFilter ref="C54:C61" xr:uid="{CBA2A550-1C17-438E-B7AC-1C04EE1EC366}"/>
  <tableColumns count="1">
    <tableColumn id="1" xr3:uid="{292F7581-8B8A-42E5-9D14-32453948C535}" name="Modalidades" dataDxfId="62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D41DBCD-7301-4FD0-8C4F-886A6F287120}" name="Tabla3" displayName="Tabla3" ref="P2:P4" totalsRowShown="0">
  <autoFilter ref="P2:P4" xr:uid="{6D41DBCD-7301-4FD0-8C4F-886A6F287120}"/>
  <tableColumns count="1">
    <tableColumn id="1" xr3:uid="{F13107FB-AE8A-442C-91E2-33B2B08C4D10}" name="Tipo" dataDxfId="61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B6D7178-77C8-4DA5-B6DE-B06FAD275BEA}" name="Tabla6" displayName="Tabla6" ref="E54:E59" totalsRowShown="0" headerRowDxfId="60" dataDxfId="59">
  <autoFilter ref="E54:E59" xr:uid="{AB6D7178-77C8-4DA5-B6DE-B06FAD275BEA}"/>
  <tableColumns count="1">
    <tableColumn id="1" xr3:uid="{9DB72B6D-3F22-444F-B143-8516B642D8BA}" name="Nivel" dataDxfId="58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A6BD66-6D35-4631-BCD0-86FF5A39F5A6}" name="Tabla4" displayName="Tabla4" ref="G54:G56" totalsRowShown="0" headerRowDxfId="57" dataDxfId="56">
  <autoFilter ref="G54:G56" xr:uid="{2EA6BD66-6D35-4631-BCD0-86FF5A39F5A6}"/>
  <tableColumns count="1">
    <tableColumn id="1" xr3:uid="{7C9497DB-1FDE-4105-98A6-3191782FF11A}" name="Año de Ingreso" dataDxfId="55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DA878B-8FB3-461B-AC35-2511A2B3ECF5}" name="tblCorrelativasGenerales" displayName="tblCorrelativasGenerales" ref="M105:AB136" totalsRowShown="0" headerRowDxfId="54" dataDxfId="52" headerRowBorderDxfId="53">
  <autoFilter ref="M105:AB136" xr:uid="{6DDA878B-8FB3-461B-AC35-2511A2B3ECF5}"/>
  <tableColumns count="16">
    <tableColumn id="1" xr3:uid="{E87F0A87-4CCB-48F3-9805-37B0E4F0ED13}" name="Codigo" dataDxfId="51"/>
    <tableColumn id="2" xr3:uid="{F951F42E-B6C6-451B-AA18-2EA4CF47D104}" name="R1" dataDxfId="50"/>
    <tableColumn id="3" xr3:uid="{2B2B3E23-6706-4E44-8879-1CDAECB8B925}" name="R2" dataDxfId="49"/>
    <tableColumn id="4" xr3:uid="{D70289A5-845C-4C0B-AF0C-99A642E31E90}" name="R3" dataDxfId="48"/>
    <tableColumn id="5" xr3:uid="{83E2A021-2B00-4B0B-854E-1274AF7467D1}" name="R4" dataDxfId="47"/>
    <tableColumn id="6" xr3:uid="{853CAB49-3AFA-485D-928D-16D1DA623475}" name="R5" dataDxfId="46"/>
    <tableColumn id="7" xr3:uid="{E6023B34-E7DD-4350-9CA8-5154C6039DBD}" name="R6" dataDxfId="45"/>
    <tableColumn id="8" xr3:uid="{E373BB62-16EF-44BB-B704-95E87D402E25}" name="A1" dataDxfId="44"/>
    <tableColumn id="9" xr3:uid="{B5F769DF-DE27-4977-BF43-3C40CF2D8B5F}" name="A2" dataDxfId="43"/>
    <tableColumn id="10" xr3:uid="{A5007938-9A1C-4F62-8DDF-954DB6CA4E8F}" name="A3" dataDxfId="42"/>
    <tableColumn id="11" xr3:uid="{D5E9CBBE-AE1F-45FF-8E30-8CBCCE620D1C}" name="A4" dataDxfId="41"/>
    <tableColumn id="12" xr3:uid="{6714D4D8-F3FD-4B19-89DE-56A0E2F176A0}" name="A5" dataDxfId="40"/>
    <tableColumn id="13" xr3:uid="{A7EF7E57-30F8-497D-B636-65D82916AFBB}" name="A6" dataDxfId="39"/>
    <tableColumn id="14" xr3:uid="{0C2E2A08-49B1-4722-B346-E69E7B554740}" name="A7" dataDxfId="38"/>
    <tableColumn id="15" xr3:uid="{0C65ACDF-66CE-4AF3-BFF3-02A98CE598B7}" name="A8" dataDxfId="37"/>
    <tableColumn id="16" xr3:uid="{08316A3D-2430-4752-80BC-7BAB00DF39D7}" name="A9" dataDxfId="36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8756259-B323-4E2E-909C-59E0A0C9A28E}" name="tblCorrelativasAntes2023" displayName="tblCorrelativasAntes2023" ref="M76:AB101" totalsRowShown="0" headerRowDxfId="35" dataDxfId="34">
  <autoFilter ref="M76:AB101" xr:uid="{A8756259-B323-4E2E-909C-59E0A0C9A28E}"/>
  <sortState xmlns:xlrd2="http://schemas.microsoft.com/office/spreadsheetml/2017/richdata2" ref="M77:AB101">
    <sortCondition ref="M76:M101"/>
  </sortState>
  <tableColumns count="16">
    <tableColumn id="1" xr3:uid="{344ACE07-9583-4FAE-8FA9-4A177FCF5814}" name="Codigo" dataDxfId="33"/>
    <tableColumn id="2" xr3:uid="{ED11EA67-D864-4755-B209-52D0BA8E73B2}" name="R1" dataDxfId="32"/>
    <tableColumn id="3" xr3:uid="{62B8620F-A59B-452E-9A5A-72F4F1413119}" name="R2" dataDxfId="31"/>
    <tableColumn id="4" xr3:uid="{42C1EB21-995E-49AC-B699-5F102581AC29}" name="R3" dataDxfId="30"/>
    <tableColumn id="5" xr3:uid="{0814B150-DE32-42F1-82C6-C771283BB268}" name="R4" dataDxfId="29"/>
    <tableColumn id="6" xr3:uid="{2BBE857F-AFE1-4106-BDE9-136A64278FCE}" name="R5" dataDxfId="28"/>
    <tableColumn id="7" xr3:uid="{BA8EEA42-916D-4F1A-A77C-64B7A9155DCB}" name="R6" dataDxfId="27"/>
    <tableColumn id="8" xr3:uid="{8BCBFF22-CA21-4F9F-A612-C21FC814D33C}" name="A1" dataDxfId="26"/>
    <tableColumn id="9" xr3:uid="{AAF5F638-0962-43F7-8F3D-F185DAD1937C}" name="A2" dataDxfId="25"/>
    <tableColumn id="10" xr3:uid="{91E1C24F-8764-477B-9EC3-7F71328333CF}" name="A3" dataDxfId="24"/>
    <tableColumn id="11" xr3:uid="{C72B3B1E-56E2-4ACB-B7EF-1DEC74011508}" name="A4" dataDxfId="23"/>
    <tableColumn id="12" xr3:uid="{478DBAAE-ACA0-4526-9767-79F4F7C13382}" name="A5" dataDxfId="22"/>
    <tableColumn id="13" xr3:uid="{02743EDC-D63F-4F2F-BE0A-F88327E800E2}" name="A6" dataDxfId="21"/>
    <tableColumn id="14" xr3:uid="{06F5796A-F23F-421E-98AB-25449B5B1DDA}" name="A7" dataDxfId="20"/>
    <tableColumn id="15" xr3:uid="{70355E93-6E1A-4B4F-B3CE-F57E03D6E74F}" name="A8" dataDxfId="19"/>
    <tableColumn id="16" xr3:uid="{ABEFD901-BFEB-4069-A8C2-EEB307EA581D}" name="A9" dataDxfId="18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EFBCA93-1CF0-453C-B0E9-603EABE87229}" name="tblCorrelativasDesde2023" displayName="tblCorrelativasDesde2023" ref="AD76:AS101" totalsRowShown="0" headerRowDxfId="17" dataDxfId="16">
  <autoFilter ref="AD76:AS101" xr:uid="{2EFBCA93-1CF0-453C-B0E9-603EABE87229}"/>
  <sortState xmlns:xlrd2="http://schemas.microsoft.com/office/spreadsheetml/2017/richdata2" ref="AD77:AS101">
    <sortCondition ref="AD76:AD101"/>
  </sortState>
  <tableColumns count="16">
    <tableColumn id="1" xr3:uid="{F5DB8852-DE02-4983-B252-960B287323CA}" name="Codigo" dataDxfId="15"/>
    <tableColumn id="2" xr3:uid="{294A0A17-6704-4037-99A3-C9C11FD3E4A7}" name="R1" dataDxfId="14"/>
    <tableColumn id="3" xr3:uid="{853AFB1C-CCF4-485A-98C9-A241EA01D732}" name="R2" dataDxfId="13"/>
    <tableColumn id="4" xr3:uid="{48921819-D721-43CC-9C03-F9B5DC178806}" name="R3" dataDxfId="12"/>
    <tableColumn id="5" xr3:uid="{FEF4FED7-A8AF-4F0F-AC9B-95A12E0061A6}" name="R4" dataDxfId="11"/>
    <tableColumn id="6" xr3:uid="{EF887CB2-1B91-41EE-883A-C408430DE4D4}" name="R5" dataDxfId="10"/>
    <tableColumn id="7" xr3:uid="{00D2EDB3-4813-46C9-87F2-B20C87E1A5A6}" name="R6" dataDxfId="9"/>
    <tableColumn id="8" xr3:uid="{E14641FE-DE19-40F2-B0AC-BC2A5B603590}" name="A1" dataDxfId="8"/>
    <tableColumn id="9" xr3:uid="{BA4E5DAE-53FF-4C7F-9216-847603A5D6D9}" name="A2" dataDxfId="7"/>
    <tableColumn id="10" xr3:uid="{DA8815A5-277B-429B-90D9-B0161AF3DF6A}" name="A3" dataDxfId="6"/>
    <tableColumn id="11" xr3:uid="{0E3ED8EF-E7E1-4784-AD81-278CF21F5F04}" name="A4" dataDxfId="5"/>
    <tableColumn id="12" xr3:uid="{7D05B5AF-73C5-4BEC-816F-855FC2C80043}" name="A5" dataDxfId="4"/>
    <tableColumn id="13" xr3:uid="{99494C65-1D2A-4DAF-888F-21893827CC2B}" name="A6" dataDxfId="3"/>
    <tableColumn id="14" xr3:uid="{0D21F80B-6DC3-43DC-AA2A-1B417937A3B6}" name="A7" dataDxfId="2"/>
    <tableColumn id="15" xr3:uid="{DD96ED11-E7D0-4126-8EB1-ECF0FE944647}" name="A8" dataDxfId="1"/>
    <tableColumn id="16" xr3:uid="{726EA613-9658-4ECE-8A0D-D1DD34843A67}" name="A9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0" row="8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1F254E6-3972-4122-89A1-5BA3C70BEE2B}">
  <we:reference id="wa200005271" version="2.5.5.0" store="es-E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DBA5C01-E18A-4AC4-814D-7B7FF903D555}">
  <we:reference id="wa104381701" version="1.0.0.4" store="en-US" storeType="OMEX"/>
  <we:alternateReferences>
    <we:reference id="wa104381701" version="1.0.0.4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microsoft.com/office/2007/relationships/slicer" Target="../slicers/slicer1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Q114"/>
  <sheetViews>
    <sheetView showGridLines="0" showRowColHeaders="0" tabSelected="1" zoomScaleNormal="100" workbookViewId="0">
      <selection activeCell="W5" sqref="W5"/>
    </sheetView>
  </sheetViews>
  <sheetFormatPr baseColWidth="10" defaultColWidth="0" defaultRowHeight="15" zeroHeight="1" x14ac:dyDescent="0.25"/>
  <cols>
    <col min="1" max="1" width="3" customWidth="1"/>
    <col min="2" max="2" width="8.7109375" customWidth="1"/>
    <col min="3" max="3" width="7.85546875" hidden="1" customWidth="1"/>
    <col min="4" max="4" width="5.28515625" hidden="1" customWidth="1"/>
    <col min="5" max="5" width="78.28515625" customWidth="1"/>
    <col min="6" max="6" width="4.85546875" customWidth="1"/>
    <col min="7" max="7" width="11.85546875" customWidth="1"/>
    <col min="8" max="8" width="6.85546875" customWidth="1"/>
    <col min="9" max="9" width="11.7109375" customWidth="1"/>
    <col min="10" max="10" width="7.140625" customWidth="1"/>
    <col min="11" max="11" width="8.28515625" hidden="1" customWidth="1"/>
    <col min="12" max="12" width="9" customWidth="1"/>
    <col min="13" max="13" width="8.140625" customWidth="1"/>
    <col min="14" max="28" width="3.7109375" customWidth="1"/>
    <col min="29" max="29" width="13.140625" hidden="1" customWidth="1"/>
    <col min="30" max="30" width="13.28515625" hidden="1" customWidth="1"/>
    <col min="31" max="31" width="12.5703125" hidden="1" customWidth="1"/>
    <col min="32" max="32" width="4.28515625" customWidth="1"/>
    <col min="33" max="33" width="12" customWidth="1"/>
    <col min="34" max="34" width="50.5703125" customWidth="1"/>
    <col min="35" max="35" width="5.140625" customWidth="1"/>
    <col min="36" max="56" width="9.140625" hidden="1"/>
    <col min="57" max="57" width="30.28515625" hidden="1"/>
    <col min="58" max="58" width="29.7109375" hidden="1"/>
    <col min="59" max="59" width="28.85546875" hidden="1"/>
    <col min="60" max="60" width="19.42578125" hidden="1"/>
    <col min="61" max="61" width="13.28515625" hidden="1"/>
    <col min="62" max="62" width="16.28515625" hidden="1"/>
    <col min="63" max="63" width="15.42578125" hidden="1"/>
    <col min="64" max="64" width="18.5703125" hidden="1"/>
    <col min="65" max="65" width="25" hidden="1"/>
    <col min="66" max="66" width="19" hidden="1"/>
    <col min="67" max="67" width="14.28515625" hidden="1"/>
    <col min="68" max="16384" width="11.42578125" hidden="1"/>
  </cols>
  <sheetData>
    <row r="1" spans="1:69" x14ac:dyDescent="0.25">
      <c r="J1" s="19"/>
      <c r="K1" s="19"/>
      <c r="L1" s="19"/>
    </row>
    <row r="2" spans="1:69" ht="38.25" customHeight="1" x14ac:dyDescent="0.25">
      <c r="B2" s="250" t="s">
        <v>159</v>
      </c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0"/>
      <c r="Y2" s="99"/>
      <c r="AC2" s="220"/>
      <c r="AD2" s="220"/>
      <c r="AE2" s="220"/>
      <c r="AF2" s="16"/>
      <c r="AG2" s="132" t="s">
        <v>48</v>
      </c>
      <c r="AH2" s="131" t="s">
        <v>67</v>
      </c>
    </row>
    <row r="3" spans="1:69" ht="15" customHeight="1" thickBot="1" x14ac:dyDescent="0.3">
      <c r="A3" s="21"/>
      <c r="B3" s="52"/>
      <c r="C3" s="52"/>
      <c r="D3" s="52"/>
      <c r="E3" s="52"/>
      <c r="F3" s="52"/>
      <c r="G3" s="52"/>
      <c r="H3" s="52"/>
      <c r="I3" s="52"/>
      <c r="J3" s="45"/>
      <c r="S3" s="22"/>
      <c r="Y3" s="49"/>
      <c r="Z3" s="49"/>
      <c r="AA3" s="50"/>
      <c r="AB3" s="50"/>
      <c r="AC3" s="50"/>
      <c r="AD3" s="50"/>
      <c r="AE3" s="50"/>
      <c r="AF3" s="50"/>
    </row>
    <row r="4" spans="1:69" ht="31.5" customHeight="1" thickBot="1" x14ac:dyDescent="0.3">
      <c r="A4" s="17"/>
      <c r="B4" s="45"/>
      <c r="C4" s="45"/>
      <c r="D4" s="45"/>
      <c r="E4" s="45"/>
      <c r="F4" s="45"/>
      <c r="G4" s="58" t="s">
        <v>1</v>
      </c>
      <c r="H4" s="248"/>
      <c r="I4" s="248"/>
      <c r="J4" s="248"/>
      <c r="K4" s="249"/>
      <c r="L4" s="248"/>
      <c r="M4" s="106"/>
      <c r="N4" s="251" t="s">
        <v>95</v>
      </c>
      <c r="O4" s="252"/>
      <c r="P4" s="253"/>
      <c r="Q4" s="254" t="s">
        <v>97</v>
      </c>
      <c r="R4" s="255"/>
      <c r="S4" s="19"/>
      <c r="AC4" s="50"/>
      <c r="AD4" s="50"/>
      <c r="AE4" s="50"/>
      <c r="AF4" s="50"/>
    </row>
    <row r="5" spans="1:69" s="79" customFormat="1" ht="29.25" customHeight="1" thickBot="1" x14ac:dyDescent="0.3">
      <c r="A5" s="78"/>
      <c r="B5" s="45"/>
      <c r="C5" s="45"/>
      <c r="D5" s="45"/>
      <c r="E5" s="45"/>
      <c r="F5" s="45"/>
      <c r="G5" s="57" t="s">
        <v>91</v>
      </c>
      <c r="H5" s="151" t="s">
        <v>73</v>
      </c>
      <c r="N5" s="45"/>
      <c r="O5" s="45"/>
      <c r="P5" s="45"/>
      <c r="Q5" s="51"/>
      <c r="R5" s="45"/>
      <c r="S5" s="80"/>
      <c r="AC5" s="84"/>
    </row>
    <row r="6" spans="1:69" s="79" customFormat="1" ht="16.5" customHeight="1" thickBot="1" x14ac:dyDescent="0.3">
      <c r="A6" s="78"/>
      <c r="B6" s="45"/>
      <c r="C6" s="45"/>
      <c r="D6" s="45"/>
      <c r="E6" s="45"/>
      <c r="F6" s="45"/>
      <c r="G6" s="45"/>
      <c r="N6" s="45"/>
      <c r="O6" s="45"/>
      <c r="P6" s="45"/>
      <c r="Q6" s="45"/>
      <c r="R6" s="45"/>
      <c r="S6" s="80"/>
    </row>
    <row r="7" spans="1:69" s="79" customFormat="1" ht="28.5" customHeight="1" thickBot="1" x14ac:dyDescent="0.3">
      <c r="A7" s="78"/>
      <c r="C7" s="45"/>
      <c r="D7" s="45"/>
      <c r="E7" s="45"/>
      <c r="F7" s="45"/>
      <c r="G7" s="264" t="s">
        <v>71</v>
      </c>
      <c r="H7" s="265"/>
      <c r="I7" s="265"/>
      <c r="J7" s="265"/>
      <c r="K7" s="265"/>
      <c r="L7" s="266"/>
      <c r="N7" s="55"/>
      <c r="O7" s="45"/>
      <c r="P7" s="45"/>
      <c r="Q7" s="45"/>
      <c r="R7" s="45"/>
      <c r="S7" s="80"/>
      <c r="AC7" s="84"/>
    </row>
    <row r="8" spans="1:69" s="79" customFormat="1" ht="33" customHeight="1" thickBot="1" x14ac:dyDescent="0.3">
      <c r="A8" s="78"/>
      <c r="B8" s="45"/>
      <c r="C8" s="45"/>
      <c r="D8" s="45"/>
      <c r="E8" s="45"/>
      <c r="F8" s="45"/>
      <c r="G8" s="56" t="s">
        <v>92</v>
      </c>
      <c r="H8" s="258" t="s">
        <v>93</v>
      </c>
      <c r="I8" s="260"/>
      <c r="J8" s="258" t="s">
        <v>94</v>
      </c>
      <c r="K8" s="259"/>
      <c r="L8" s="260"/>
      <c r="N8" s="45"/>
      <c r="O8" s="45"/>
      <c r="P8" s="45"/>
      <c r="Q8" s="45"/>
      <c r="R8" s="45"/>
      <c r="S8" s="80"/>
      <c r="BE8" s="85"/>
      <c r="BF8" s="85"/>
      <c r="BG8" s="85"/>
      <c r="BH8" s="85"/>
      <c r="BI8" s="85"/>
      <c r="BJ8" s="85"/>
    </row>
    <row r="9" spans="1:69" ht="21" customHeight="1" thickBot="1" x14ac:dyDescent="0.3">
      <c r="A9" s="17"/>
      <c r="B9" s="19"/>
      <c r="E9" s="19"/>
      <c r="G9" s="54">
        <f xml:space="preserve"> SUMIFS(Tabla1[Carga Horaria], Tabla1[Estado], "&lt;&gt;Aprobado", Tabla1[Estado], "&lt;&gt;Regular", Tabla1[Materia], "&lt;&gt;Seminario", Tabla1[Materia], "&lt;&gt;Práctica Profesional Supervisada", Tabla1[Electiva], "NO")</f>
        <v>146</v>
      </c>
      <c r="H9" s="256" t="str">
        <f>IF(
   SUMIFS(Tabla1[Carga Horaria], Tabla1[Estado], "&lt;&gt;Aprobado", Tabla1[Estado], "&lt;&gt;Regular", Tabla1[Materia], "&lt;&gt;E35", Tabla1[Materia], "&lt;&gt;E57", Tabla1[Electiva], "NO") &lt;= 30,
   "SI", "NO")</f>
        <v>NO</v>
      </c>
      <c r="I9" s="257"/>
      <c r="J9" s="261" t="s">
        <v>73</v>
      </c>
      <c r="K9" s="262"/>
      <c r="L9" s="263"/>
      <c r="N9" s="267" t="s">
        <v>4</v>
      </c>
      <c r="O9" s="268"/>
      <c r="P9" s="268"/>
      <c r="Q9" s="268"/>
      <c r="R9" s="268"/>
      <c r="S9" s="268"/>
      <c r="T9" s="268"/>
      <c r="U9" s="268"/>
      <c r="V9" s="268"/>
      <c r="W9" s="268"/>
      <c r="X9" s="268"/>
      <c r="Y9" s="268"/>
      <c r="Z9" s="268"/>
      <c r="AA9" s="268"/>
      <c r="AB9" s="269"/>
      <c r="BE9" s="15"/>
      <c r="BF9" s="15"/>
      <c r="BG9" s="15"/>
      <c r="BH9" s="15"/>
      <c r="BI9" s="15"/>
      <c r="BJ9" s="15"/>
    </row>
    <row r="10" spans="1:69" ht="17.25" customHeight="1" thickBot="1" x14ac:dyDescent="0.3">
      <c r="A10" s="17"/>
      <c r="B10" s="19"/>
      <c r="C10" s="19"/>
      <c r="D10" s="19"/>
      <c r="E10" s="19"/>
      <c r="F10" s="19"/>
      <c r="G10" s="19"/>
      <c r="H10" s="19"/>
      <c r="I10" s="19"/>
      <c r="N10" s="245" t="s">
        <v>54</v>
      </c>
      <c r="O10" s="246"/>
      <c r="P10" s="246"/>
      <c r="Q10" s="246"/>
      <c r="R10" s="246"/>
      <c r="S10" s="247"/>
      <c r="T10" s="245" t="s">
        <v>12</v>
      </c>
      <c r="U10" s="246"/>
      <c r="V10" s="246"/>
      <c r="W10" s="246"/>
      <c r="X10" s="246"/>
      <c r="Y10" s="246"/>
      <c r="Z10" s="246"/>
      <c r="AA10" s="246"/>
      <c r="AB10" s="247"/>
      <c r="BE10" s="15"/>
      <c r="BF10" s="15"/>
      <c r="BG10" s="15"/>
      <c r="BH10" s="15"/>
      <c r="BI10" s="15"/>
      <c r="BJ10" s="15"/>
    </row>
    <row r="11" spans="1:69" s="6" customFormat="1" ht="31.5" customHeight="1" thickBot="1" x14ac:dyDescent="0.3">
      <c r="A11" s="24"/>
      <c r="B11" s="128" t="s">
        <v>0</v>
      </c>
      <c r="C11" s="128" t="s">
        <v>70</v>
      </c>
      <c r="D11" s="128" t="s">
        <v>69</v>
      </c>
      <c r="E11" s="128" t="s">
        <v>1</v>
      </c>
      <c r="F11" s="129" t="s">
        <v>76</v>
      </c>
      <c r="G11" s="128" t="s">
        <v>79</v>
      </c>
      <c r="H11" s="128" t="s">
        <v>46</v>
      </c>
      <c r="I11" s="128" t="s">
        <v>2</v>
      </c>
      <c r="J11" s="128" t="s">
        <v>75</v>
      </c>
      <c r="K11" s="128" t="s">
        <v>78</v>
      </c>
      <c r="L11" s="128" t="s">
        <v>82</v>
      </c>
      <c r="M11" s="128" t="s">
        <v>49</v>
      </c>
      <c r="N11" s="130" t="s">
        <v>61</v>
      </c>
      <c r="O11" s="222" t="s">
        <v>55</v>
      </c>
      <c r="P11" s="222" t="s">
        <v>56</v>
      </c>
      <c r="Q11" s="222" t="s">
        <v>57</v>
      </c>
      <c r="R11" s="222" t="s">
        <v>103</v>
      </c>
      <c r="S11" s="226" t="s">
        <v>104</v>
      </c>
      <c r="T11" s="222" t="s">
        <v>62</v>
      </c>
      <c r="U11" s="222" t="s">
        <v>58</v>
      </c>
      <c r="V11" s="222" t="s">
        <v>59</v>
      </c>
      <c r="W11" s="222" t="s">
        <v>60</v>
      </c>
      <c r="X11" s="222" t="s">
        <v>105</v>
      </c>
      <c r="Y11" s="222" t="s">
        <v>106</v>
      </c>
      <c r="Z11" s="222" t="s">
        <v>107</v>
      </c>
      <c r="AA11" s="222" t="s">
        <v>108</v>
      </c>
      <c r="AB11" s="222" t="s">
        <v>109</v>
      </c>
      <c r="AC11" s="107" t="s">
        <v>81</v>
      </c>
      <c r="AD11" s="107" t="s">
        <v>83</v>
      </c>
      <c r="AE11" s="108" t="s">
        <v>102</v>
      </c>
      <c r="AJ11" s="19"/>
      <c r="AK11" s="19"/>
      <c r="AL11" s="20"/>
      <c r="BL11" s="14"/>
      <c r="BM11" s="14"/>
      <c r="BN11" s="14"/>
      <c r="BO11" s="14"/>
      <c r="BP11" s="14"/>
      <c r="BQ11" s="14"/>
    </row>
    <row r="12" spans="1:69" ht="17.25" customHeight="1" x14ac:dyDescent="0.25">
      <c r="A12" s="17"/>
      <c r="B12" s="111">
        <v>1</v>
      </c>
      <c r="C12" s="133">
        <v>1</v>
      </c>
      <c r="D12" s="156" t="s">
        <v>84</v>
      </c>
      <c r="E12" s="117" t="s">
        <v>26</v>
      </c>
      <c r="F12" s="111" t="str">
        <f>_xlfn.XLOOKUP(Tabla1[[#This Row],[Estado]],Control!$C$33:$C$35,Control!$B$33:$B$35,"")</f>
        <v/>
      </c>
      <c r="G12" s="120"/>
      <c r="H12" s="141"/>
      <c r="I12" s="111" t="s">
        <v>5</v>
      </c>
      <c r="J12" s="12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SI</v>
      </c>
      <c r="K12" s="123" t="s">
        <v>73</v>
      </c>
      <c r="L12" s="123">
        <v>5</v>
      </c>
      <c r="M12" s="133"/>
      <c r="N12" s="124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2" s="125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2" s="12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2" s="11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2" s="11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2" s="20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2" s="125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2" s="12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2" s="12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2" s="12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2" s="12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2" s="12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2" s="12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2" s="125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2" s="113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12" s="96" t="b">
        <f>ISNUMBER(SEARCH($H$4,Tabla1[[#This Row],[Materia]],1))</f>
        <v>1</v>
      </c>
      <c r="AD12" s="96" t="b">
        <f>IFERROR(IF(
    (COUNTIF(Tabla1[[#This Row],[R1]:[A9]], _xlfn.XLOOKUP($H$4,Tabla1[Materia],Tabla1[Numero],""))) &gt; 0,
    TRUE,
    FALSE
),FALSE)</f>
        <v>0</v>
      </c>
      <c r="AE12" s="97">
        <v>1</v>
      </c>
      <c r="AF12" s="19"/>
      <c r="AG12" s="19"/>
      <c r="AH12" s="19"/>
      <c r="AI12" s="19"/>
      <c r="AK12" s="19"/>
      <c r="AL12" s="19"/>
      <c r="BL12" s="15"/>
      <c r="BM12" s="15"/>
      <c r="BN12" s="15"/>
      <c r="BO12" s="15"/>
      <c r="BP12" s="15"/>
      <c r="BQ12" s="15"/>
    </row>
    <row r="13" spans="1:69" ht="17.25" customHeight="1" x14ac:dyDescent="0.25">
      <c r="A13" s="17"/>
      <c r="B13" s="11">
        <v>2</v>
      </c>
      <c r="C13" s="134">
        <v>2</v>
      </c>
      <c r="D13" s="157" t="s">
        <v>84</v>
      </c>
      <c r="E13" s="62" t="s">
        <v>110</v>
      </c>
      <c r="F13" s="11" t="str">
        <f>_xlfn.XLOOKUP(Tabla1[[#This Row],[Estado]],Control!$C$33:$C$35,Control!$B$33:$B$35,"")</f>
        <v/>
      </c>
      <c r="G13" s="100"/>
      <c r="H13" s="142"/>
      <c r="I13" s="11" t="s">
        <v>5</v>
      </c>
      <c r="J13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SI</v>
      </c>
      <c r="K13" s="11" t="s">
        <v>73</v>
      </c>
      <c r="L13" s="11">
        <v>5</v>
      </c>
      <c r="M13" s="134"/>
      <c r="N13" s="68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3" s="69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3" s="6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3" s="1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3" s="1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3" s="208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3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3" s="1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3" s="1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3" s="1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3" s="1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3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3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3" s="1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3" s="93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13" s="96" t="b">
        <f>ISNUMBER(SEARCH($H$4,Tabla1[[#This Row],[Materia]],1))</f>
        <v>1</v>
      </c>
      <c r="AD13" s="96" t="b">
        <f>IFERROR(IF(
    (COUNTIF(Tabla1[[#This Row],[R1]:[A9]], _xlfn.XLOOKUP($H$4,Tabla1[Materia],Tabla1[Numero],""))) &gt; 0,
    TRUE,
    FALSE
),FALSE)</f>
        <v>0</v>
      </c>
      <c r="AE13" s="97">
        <v>2</v>
      </c>
      <c r="AF13" s="19"/>
      <c r="AI13" s="19"/>
      <c r="AJ13" s="19"/>
      <c r="AK13" s="19"/>
      <c r="AL13" s="19"/>
    </row>
    <row r="14" spans="1:69" ht="17.25" customHeight="1" x14ac:dyDescent="0.25">
      <c r="A14" s="17"/>
      <c r="B14" s="11">
        <v>3</v>
      </c>
      <c r="C14" s="134">
        <v>3</v>
      </c>
      <c r="D14" s="157" t="s">
        <v>84</v>
      </c>
      <c r="E14" s="62" t="s">
        <v>27</v>
      </c>
      <c r="F14" s="11" t="str">
        <f>_xlfn.XLOOKUP(Tabla1[[#This Row],[Estado]],Control!$C$33:$C$35,Control!$B$33:$B$35,"")</f>
        <v/>
      </c>
      <c r="G14" s="100"/>
      <c r="H14" s="142"/>
      <c r="I14" s="11" t="s">
        <v>5</v>
      </c>
      <c r="J14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SI</v>
      </c>
      <c r="K14" s="11" t="s">
        <v>73</v>
      </c>
      <c r="L14" s="11">
        <v>5</v>
      </c>
      <c r="M14" s="134"/>
      <c r="N14" s="68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4" s="69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4" s="6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4" s="1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4" s="1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4" s="208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4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4" s="1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4" s="1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4" s="1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4" s="1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4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4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4" s="1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4" s="93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14" s="96" t="b">
        <f>ISNUMBER(SEARCH($H$4,Tabla1[[#This Row],[Materia]],1))</f>
        <v>1</v>
      </c>
      <c r="AD14" s="96" t="b">
        <f>IFERROR(IF(
    (COUNTIF(Tabla1[[#This Row],[R1]:[A9]], _xlfn.XLOOKUP($H$4,Tabla1[Materia],Tabla1[Numero],""))) &gt; 0,
    TRUE,
    FALSE
),FALSE)</f>
        <v>0</v>
      </c>
      <c r="AE14" s="97">
        <v>3</v>
      </c>
      <c r="AF14" s="19"/>
      <c r="AG14" s="19"/>
      <c r="AH14" s="19"/>
      <c r="AJ14" s="19"/>
      <c r="AK14" s="19"/>
      <c r="AL14" s="19"/>
      <c r="AM14" s="19"/>
      <c r="AN14" s="23"/>
    </row>
    <row r="15" spans="1:69" ht="17.25" customHeight="1" x14ac:dyDescent="0.25">
      <c r="A15" s="17"/>
      <c r="B15" s="11">
        <v>4</v>
      </c>
      <c r="C15" s="134">
        <v>4</v>
      </c>
      <c r="D15" s="157" t="s">
        <v>84</v>
      </c>
      <c r="E15" s="62" t="s">
        <v>28</v>
      </c>
      <c r="F15" s="11" t="str">
        <f>_xlfn.XLOOKUP(Tabla1[[#This Row],[Estado]],Control!$C$33:$C$35,Control!$B$33:$B$35,"")</f>
        <v/>
      </c>
      <c r="G15" s="100"/>
      <c r="H15" s="142"/>
      <c r="I15" s="11" t="s">
        <v>5</v>
      </c>
      <c r="J15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SI</v>
      </c>
      <c r="K15" s="11" t="s">
        <v>73</v>
      </c>
      <c r="L15" s="11">
        <v>5</v>
      </c>
      <c r="M15" s="134"/>
      <c r="N15" s="68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5" s="69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5" s="6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5" s="1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5" s="1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5" s="208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5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5" s="1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5" s="1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5" s="1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5" s="1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5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5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5" s="1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5" s="93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15" s="96" t="b">
        <f>ISNUMBER(SEARCH($H$4,Tabla1[[#This Row],[Materia]],1))</f>
        <v>1</v>
      </c>
      <c r="AD15" s="96" t="b">
        <f>IFERROR(IF(
    (COUNTIF(Tabla1[[#This Row],[R1]:[A9]], _xlfn.XLOOKUP($H$4,Tabla1[Materia],Tabla1[Numero],""))) &gt; 0,
    TRUE,
    FALSE
),FALSE)</f>
        <v>0</v>
      </c>
      <c r="AE15" s="97">
        <v>4</v>
      </c>
      <c r="AF15" s="19"/>
      <c r="AG15" s="19"/>
      <c r="AH15" s="19"/>
      <c r="AI15" s="19"/>
    </row>
    <row r="16" spans="1:69" ht="17.25" customHeight="1" x14ac:dyDescent="0.25">
      <c r="A16" s="17"/>
      <c r="B16" s="11">
        <v>5</v>
      </c>
      <c r="C16" s="134">
        <v>5</v>
      </c>
      <c r="D16" s="157" t="s">
        <v>84</v>
      </c>
      <c r="E16" s="62" t="s">
        <v>29</v>
      </c>
      <c r="F16" s="11" t="str">
        <f>_xlfn.XLOOKUP(Tabla1[[#This Row],[Estado]],Control!$C$33:$C$35,Control!$B$33:$B$35,"")</f>
        <v/>
      </c>
      <c r="G16" s="100"/>
      <c r="H16" s="142"/>
      <c r="I16" s="11" t="s">
        <v>5</v>
      </c>
      <c r="J16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SI</v>
      </c>
      <c r="K16" s="11" t="s">
        <v>73</v>
      </c>
      <c r="L16" s="11">
        <v>2</v>
      </c>
      <c r="M16" s="134"/>
      <c r="N16" s="68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6" s="69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6" s="6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6" s="1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6" s="1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6" s="208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6" s="6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6" s="1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6" s="1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6" s="1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6" s="1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6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6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6" s="1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6" s="93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16" s="96" t="b">
        <f>ISNUMBER(SEARCH($H$4,Tabla1[[#This Row],[Materia]],1))</f>
        <v>1</v>
      </c>
      <c r="AD16" s="96" t="b">
        <f>IFERROR(IF(
    (COUNTIF(Tabla1[[#This Row],[R1]:[A9]], _xlfn.XLOOKUP($H$4,Tabla1[Materia],Tabla1[Numero],""))) &gt; 0,
    TRUE,
    FALSE
),FALSE)</f>
        <v>0</v>
      </c>
      <c r="AE16" s="97">
        <v>5</v>
      </c>
      <c r="AF16" s="19"/>
      <c r="AG16" s="19"/>
      <c r="AH16" s="19"/>
      <c r="AI16" s="19"/>
    </row>
    <row r="17" spans="1:40" ht="17.25" customHeight="1" x14ac:dyDescent="0.25">
      <c r="A17" s="17"/>
      <c r="B17" s="11">
        <v>6</v>
      </c>
      <c r="C17" s="134">
        <v>6</v>
      </c>
      <c r="D17" s="157" t="s">
        <v>84</v>
      </c>
      <c r="E17" s="62" t="s">
        <v>147</v>
      </c>
      <c r="F17" s="11" t="str">
        <f>_xlfn.XLOOKUP(Tabla1[[#This Row],[Estado]],Control!$C$33:$C$35,Control!$B$33:$B$35,"")</f>
        <v/>
      </c>
      <c r="G17" s="100"/>
      <c r="H17" s="142"/>
      <c r="I17" s="11" t="s">
        <v>5</v>
      </c>
      <c r="J17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SI</v>
      </c>
      <c r="K17" s="11" t="s">
        <v>73</v>
      </c>
      <c r="L17" s="11">
        <v>2</v>
      </c>
      <c r="M17" s="134"/>
      <c r="N17" s="68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7" s="69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7" s="6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7" s="1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7" s="1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7" s="208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7" s="22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7" s="1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7" s="1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7" s="1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7" s="1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7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7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7" s="1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7" s="93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17" s="96" t="b">
        <f>ISNUMBER(SEARCH($H$4,Tabla1[[#This Row],[Materia]],1))</f>
        <v>1</v>
      </c>
      <c r="AD17" s="96" t="b">
        <f>IFERROR(IF(
    (COUNTIF(Tabla1[[#This Row],[R1]:[A9]], _xlfn.XLOOKUP($H$4,Tabla1[Materia],Tabla1[Numero],""))) &gt; 0,
    TRUE,
    FALSE
),FALSE)</f>
        <v>0</v>
      </c>
      <c r="AE17" s="97">
        <v>6</v>
      </c>
      <c r="AF17" s="19"/>
      <c r="AG17" s="19"/>
      <c r="AH17" s="19"/>
      <c r="AI17" s="19"/>
      <c r="AJ17" s="19"/>
      <c r="AK17" s="19"/>
      <c r="AL17" s="19"/>
      <c r="AM17" s="19"/>
      <c r="AN17" s="23"/>
    </row>
    <row r="18" spans="1:40" ht="17.25" customHeight="1" x14ac:dyDescent="0.25">
      <c r="A18" s="17"/>
      <c r="B18" s="11">
        <v>7</v>
      </c>
      <c r="C18" s="134">
        <v>7</v>
      </c>
      <c r="D18" s="157" t="s">
        <v>84</v>
      </c>
      <c r="E18" s="62" t="s">
        <v>111</v>
      </c>
      <c r="F18" s="11" t="str">
        <f>_xlfn.XLOOKUP(Tabla1[[#This Row],[Estado]],Control!$C$33:$C$35,Control!$B$33:$B$35,"")</f>
        <v/>
      </c>
      <c r="G18" s="100"/>
      <c r="H18" s="142"/>
      <c r="I18" s="11" t="s">
        <v>5</v>
      </c>
      <c r="J18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SI</v>
      </c>
      <c r="K18" s="11" t="s">
        <v>73</v>
      </c>
      <c r="L18" s="11">
        <v>3</v>
      </c>
      <c r="M18" s="134"/>
      <c r="N18" s="68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8" s="69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8" s="6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8" s="1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8" s="1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8" s="208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8" s="221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8" s="1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8" s="1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8" s="1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8" s="1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8" s="1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8" s="1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8" s="1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8" s="93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18" s="96" t="b">
        <f>ISNUMBER(SEARCH($H$4,Tabla1[[#This Row],[Materia]],1))</f>
        <v>1</v>
      </c>
      <c r="AD18" s="96" t="b">
        <f>IFERROR(IF(
    (COUNTIF(Tabla1[[#This Row],[R1]:[A9]], _xlfn.XLOOKUP($H$4,Tabla1[Materia],Tabla1[Numero],""))) &gt; 0,
    TRUE,
    FALSE
),FALSE)</f>
        <v>0</v>
      </c>
      <c r="AE18" s="97">
        <v>7</v>
      </c>
      <c r="AF18" s="19"/>
      <c r="AG18" s="19"/>
      <c r="AH18" s="19"/>
      <c r="AI18" s="19"/>
      <c r="AJ18" s="19"/>
      <c r="AK18" s="19"/>
      <c r="AL18" s="19"/>
      <c r="AM18" s="19"/>
      <c r="AN18" s="23"/>
    </row>
    <row r="19" spans="1:40" ht="17.25" customHeight="1" thickBot="1" x14ac:dyDescent="0.3">
      <c r="A19" s="17"/>
      <c r="B19" s="116">
        <v>8</v>
      </c>
      <c r="C19" s="135">
        <v>8</v>
      </c>
      <c r="D19" s="158" t="s">
        <v>84</v>
      </c>
      <c r="E19" s="119" t="s">
        <v>112</v>
      </c>
      <c r="F19" s="116" t="str">
        <f>_xlfn.XLOOKUP(Tabla1[[#This Row],[Estado]],Control!$C$33:$C$35,Control!$B$33:$B$35,"")</f>
        <v/>
      </c>
      <c r="G19" s="122"/>
      <c r="H19" s="143"/>
      <c r="I19" s="116" t="s">
        <v>5</v>
      </c>
      <c r="J19" s="11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SI</v>
      </c>
      <c r="K19" s="116" t="s">
        <v>73</v>
      </c>
      <c r="L19" s="116">
        <v>2</v>
      </c>
      <c r="M19" s="135"/>
      <c r="N19" s="205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9" s="20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9" s="20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9" s="11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9" s="116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19" s="209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19" s="206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19" s="116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19" s="11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19" s="116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19" s="116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19" s="116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19" s="116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19" s="116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19" s="127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19" s="96" t="b">
        <f>ISNUMBER(SEARCH($H$4,Tabla1[[#This Row],[Materia]],1))</f>
        <v>1</v>
      </c>
      <c r="AD19" s="96" t="b">
        <f>IFERROR(IF(
    (COUNTIF(Tabla1[[#This Row],[R1]:[A9]], _xlfn.XLOOKUP($H$4,Tabla1[Materia],Tabla1[Numero],""))) &gt; 0,
    TRUE,
    FALSE
),FALSE)</f>
        <v>0</v>
      </c>
      <c r="AE19" s="97">
        <v>8</v>
      </c>
      <c r="AF19" s="19"/>
      <c r="AG19" s="19"/>
      <c r="AH19" s="19"/>
      <c r="AI19" s="19"/>
      <c r="AJ19" s="19"/>
      <c r="AK19" s="19"/>
      <c r="AL19" s="19"/>
      <c r="AM19" s="19"/>
      <c r="AN19" s="23"/>
    </row>
    <row r="20" spans="1:40" ht="17.25" customHeight="1" x14ac:dyDescent="0.25">
      <c r="A20" s="17"/>
      <c r="B20" s="164">
        <v>9</v>
      </c>
      <c r="C20" s="165">
        <v>9</v>
      </c>
      <c r="D20" s="166" t="s">
        <v>85</v>
      </c>
      <c r="E20" s="167" t="s">
        <v>113</v>
      </c>
      <c r="F20" s="164" t="str">
        <f>_xlfn.XLOOKUP(Tabla1[[#This Row],[Estado]],Control!$C$33:$C$35,Control!$B$33:$B$35,"")</f>
        <v/>
      </c>
      <c r="G20" s="168"/>
      <c r="H20" s="169"/>
      <c r="I20" s="164" t="s">
        <v>5</v>
      </c>
      <c r="J20" s="16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20" s="164" t="s">
        <v>73</v>
      </c>
      <c r="L20" s="164">
        <v>3</v>
      </c>
      <c r="M20" s="165"/>
      <c r="N20" s="17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</v>
      </c>
      <c r="O20" s="17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4</v>
      </c>
      <c r="P20" s="17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0" s="16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0" s="16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0" s="21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0" s="170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0" s="16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0" s="16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0" s="16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0" s="16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0" s="16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0" s="16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0" s="16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0" s="172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0" s="96" t="b">
        <f>ISNUMBER(SEARCH($H$4,Tabla1[[#This Row],[Materia]],1))</f>
        <v>1</v>
      </c>
      <c r="AD20" s="96" t="b">
        <f>IFERROR(IF(
    (COUNTIF(Tabla1[[#This Row],[R1]:[A9]], _xlfn.XLOOKUP($H$4,Tabla1[Materia],Tabla1[Numero],""))) &gt; 0,
    TRUE,
    FALSE
),FALSE)</f>
        <v>0</v>
      </c>
      <c r="AE20" s="97">
        <v>9</v>
      </c>
      <c r="AF20" s="19"/>
      <c r="AG20" s="19"/>
      <c r="AH20" s="19"/>
      <c r="AI20" s="19"/>
      <c r="AJ20" s="19"/>
      <c r="AK20" s="19"/>
      <c r="AL20" s="19"/>
      <c r="AM20" s="19"/>
      <c r="AN20" s="23"/>
    </row>
    <row r="21" spans="1:40" ht="17.25" customHeight="1" x14ac:dyDescent="0.25">
      <c r="A21" s="17"/>
      <c r="B21" s="164">
        <v>10</v>
      </c>
      <c r="C21" s="165">
        <v>10</v>
      </c>
      <c r="D21" s="166" t="s">
        <v>85</v>
      </c>
      <c r="E21" s="167" t="s">
        <v>148</v>
      </c>
      <c r="F21" s="164" t="str">
        <f>_xlfn.XLOOKUP(Tabla1[[#This Row],[Estado]],Control!$C$33:$C$35,Control!$B$33:$B$35,"")</f>
        <v/>
      </c>
      <c r="G21" s="168"/>
      <c r="H21" s="169"/>
      <c r="I21" s="164" t="s">
        <v>5</v>
      </c>
      <c r="J21" s="16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21" s="164" t="s">
        <v>73</v>
      </c>
      <c r="L21" s="164">
        <v>4</v>
      </c>
      <c r="M21" s="165"/>
      <c r="N21" s="17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1" s="17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</v>
      </c>
      <c r="P21" s="17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4</v>
      </c>
      <c r="Q21" s="16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1" s="16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1" s="21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1" s="170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1" s="16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1" s="16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1" s="16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1" s="16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1" s="16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1" s="16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1" s="16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1" s="172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1" s="96" t="b">
        <f>ISNUMBER(SEARCH($H$4,Tabla1[[#This Row],[Materia]],1))</f>
        <v>1</v>
      </c>
      <c r="AD21" s="96" t="b">
        <f>IFERROR(IF(
    (COUNTIF(Tabla1[[#This Row],[R1]:[A9]], _xlfn.XLOOKUP($H$4,Tabla1[Materia],Tabla1[Numero],""))) &gt; 0,
    TRUE,
    FALSE
),FALSE)</f>
        <v>0</v>
      </c>
      <c r="AE21" s="97">
        <v>10</v>
      </c>
      <c r="AF21" s="19"/>
      <c r="AG21" s="19"/>
      <c r="AH21" s="19"/>
      <c r="AI21" s="19"/>
      <c r="AJ21" s="19"/>
      <c r="AK21" s="19"/>
      <c r="AL21" s="19"/>
      <c r="AM21" s="19"/>
      <c r="AN21" s="23"/>
    </row>
    <row r="22" spans="1:40" ht="17.25" customHeight="1" x14ac:dyDescent="0.25">
      <c r="A22" s="17"/>
      <c r="B22" s="164">
        <v>11</v>
      </c>
      <c r="C22" s="165">
        <v>11</v>
      </c>
      <c r="D22" s="166" t="s">
        <v>85</v>
      </c>
      <c r="E22" s="167" t="s">
        <v>114</v>
      </c>
      <c r="F22" s="164" t="str">
        <f>_xlfn.XLOOKUP(Tabla1[[#This Row],[Estado]],Control!$C$33:$C$35,Control!$B$33:$B$35,"")</f>
        <v/>
      </c>
      <c r="G22" s="168"/>
      <c r="H22" s="169"/>
      <c r="I22" s="164" t="s">
        <v>5</v>
      </c>
      <c r="J22" s="16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22" s="164" t="s">
        <v>73</v>
      </c>
      <c r="L22" s="164">
        <v>5</v>
      </c>
      <c r="M22" s="165"/>
      <c r="N22" s="17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</v>
      </c>
      <c r="O22" s="16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4</v>
      </c>
      <c r="P22" s="16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2" s="16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2" s="16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2" s="17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2" s="17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2" s="16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2" s="16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2" s="16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2" s="16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2" s="16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2" s="16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2" s="16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2" s="172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2" s="96" t="b">
        <f>ISNUMBER(SEARCH($H$4,Tabla1[[#This Row],[Materia]],1))</f>
        <v>1</v>
      </c>
      <c r="AD22" s="96" t="b">
        <f>IFERROR(IF(
    (COUNTIF(Tabla1[[#This Row],[R1]:[A9]], _xlfn.XLOOKUP($H$4,Tabla1[Materia],Tabla1[Numero],""))) &gt; 0,
    TRUE,
    FALSE
),FALSE)</f>
        <v>0</v>
      </c>
      <c r="AE22" s="97">
        <v>11</v>
      </c>
      <c r="AF22" s="19"/>
      <c r="AG22" s="19"/>
      <c r="AH22" s="19"/>
      <c r="AI22" s="19"/>
      <c r="AJ22" s="19"/>
      <c r="AK22" s="19"/>
      <c r="AL22" s="19"/>
      <c r="AM22" s="19"/>
      <c r="AN22" s="23"/>
    </row>
    <row r="23" spans="1:40" ht="17.25" customHeight="1" x14ac:dyDescent="0.25">
      <c r="A23" s="17"/>
      <c r="B23" s="164">
        <v>12</v>
      </c>
      <c r="C23" s="165">
        <v>12</v>
      </c>
      <c r="D23" s="166" t="s">
        <v>85</v>
      </c>
      <c r="E23" s="167" t="s">
        <v>22</v>
      </c>
      <c r="F23" s="164" t="str">
        <f>_xlfn.XLOOKUP(Tabla1[[#This Row],[Estado]],Control!$C$33:$C$35,Control!$B$33:$B$35,"")</f>
        <v/>
      </c>
      <c r="G23" s="168"/>
      <c r="H23" s="169"/>
      <c r="I23" s="164" t="s">
        <v>5</v>
      </c>
      <c r="J23" s="16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23" s="164" t="s">
        <v>73</v>
      </c>
      <c r="L23" s="164">
        <v>5</v>
      </c>
      <c r="M23" s="165"/>
      <c r="N23" s="17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3" s="17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</v>
      </c>
      <c r="P23" s="17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3" s="16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3" s="16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3" s="210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3" s="170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3" s="16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3" s="16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3" s="16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3" s="16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3" s="16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3" s="16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3" s="16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3" s="172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3" s="96" t="b">
        <f>ISNUMBER(SEARCH($H$4,Tabla1[[#This Row],[Materia]],1))</f>
        <v>1</v>
      </c>
      <c r="AD23" s="96" t="b">
        <f>IFERROR(IF(
    (COUNTIF(Tabla1[[#This Row],[R1]:[A9]], _xlfn.XLOOKUP($H$4,Tabla1[Materia],Tabla1[Numero],""))) &gt; 0,
    TRUE,
    FALSE
),FALSE)</f>
        <v>0</v>
      </c>
      <c r="AE23" s="97">
        <v>12</v>
      </c>
      <c r="AF23" s="19"/>
      <c r="AG23" s="19"/>
      <c r="AH23" s="19"/>
      <c r="AI23" s="19"/>
      <c r="AJ23" s="19"/>
      <c r="AK23" s="19"/>
      <c r="AL23" s="19"/>
      <c r="AM23" s="19"/>
      <c r="AN23" s="23"/>
    </row>
    <row r="24" spans="1:40" ht="17.25" customHeight="1" x14ac:dyDescent="0.25">
      <c r="A24" s="17"/>
      <c r="B24" s="164">
        <v>13</v>
      </c>
      <c r="C24" s="165">
        <v>13</v>
      </c>
      <c r="D24" s="166" t="s">
        <v>85</v>
      </c>
      <c r="E24" s="167" t="s">
        <v>23</v>
      </c>
      <c r="F24" s="164" t="str">
        <f>_xlfn.XLOOKUP(Tabla1[[#This Row],[Estado]],Control!$C$33:$C$35,Control!$B$33:$B$35,"")</f>
        <v/>
      </c>
      <c r="G24" s="168"/>
      <c r="H24" s="169"/>
      <c r="I24" s="164" t="s">
        <v>5</v>
      </c>
      <c r="J24" s="16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24" s="164" t="s">
        <v>73</v>
      </c>
      <c r="L24" s="164">
        <v>5</v>
      </c>
      <c r="M24" s="165"/>
      <c r="N24" s="1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4" s="1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4</v>
      </c>
      <c r="P24" s="17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4" s="16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4" s="16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4" s="211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4" s="174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4" s="16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4" s="16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4" s="16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4" s="16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4" s="16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4" s="16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4" s="16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4" s="172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4" s="96" t="b">
        <f>ISNUMBER(SEARCH($H$4,Tabla1[[#This Row],[Materia]],1))</f>
        <v>1</v>
      </c>
      <c r="AD24" s="96" t="b">
        <f>IFERROR(IF(
    (COUNTIF(Tabla1[[#This Row],[R1]:[A9]], _xlfn.XLOOKUP($H$4,Tabla1[Materia],Tabla1[Numero],""))) &gt; 0,
    TRUE,
    FALSE
),FALSE)</f>
        <v>0</v>
      </c>
      <c r="AE24" s="97">
        <v>13</v>
      </c>
      <c r="AF24" s="19"/>
      <c r="AG24" s="19"/>
      <c r="AH24" s="19"/>
      <c r="AI24" s="19"/>
      <c r="AJ24" s="19"/>
      <c r="AK24" s="19"/>
      <c r="AL24" s="19"/>
      <c r="AM24" s="19"/>
      <c r="AN24" s="23"/>
    </row>
    <row r="25" spans="1:40" ht="17.25" customHeight="1" x14ac:dyDescent="0.25">
      <c r="A25" s="17"/>
      <c r="B25" s="164">
        <v>14</v>
      </c>
      <c r="C25" s="165">
        <v>14</v>
      </c>
      <c r="D25" s="166" t="s">
        <v>85</v>
      </c>
      <c r="E25" s="176" t="s">
        <v>115</v>
      </c>
      <c r="F25" s="164" t="str">
        <f>_xlfn.XLOOKUP(Tabla1[[#This Row],[Estado]],Control!$C$33:$C$35,Control!$B$33:$B$35,"")</f>
        <v/>
      </c>
      <c r="G25" s="168"/>
      <c r="H25" s="169"/>
      <c r="I25" s="164" t="s">
        <v>5</v>
      </c>
      <c r="J25" s="16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25" s="164" t="s">
        <v>73</v>
      </c>
      <c r="L25" s="164">
        <v>3</v>
      </c>
      <c r="M25" s="165"/>
      <c r="N25" s="1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</v>
      </c>
      <c r="O25" s="1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4</v>
      </c>
      <c r="P25" s="17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5" s="16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5" s="16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5" s="211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5" s="174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5" s="16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5" s="16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5" s="16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5" s="16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5" s="16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5" s="16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5" s="16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5" s="172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5" s="96" t="b">
        <f>ISNUMBER(SEARCH($H$4,Tabla1[[#This Row],[Materia]],1))</f>
        <v>1</v>
      </c>
      <c r="AD25" s="96" t="b">
        <f>IFERROR(IF(
    (COUNTIF(Tabla1[[#This Row],[R1]:[A9]], _xlfn.XLOOKUP($H$4,Tabla1[Materia],Tabla1[Numero],""))) &gt; 0,
    TRUE,
    FALSE
),FALSE)</f>
        <v>0</v>
      </c>
      <c r="AE25" s="97">
        <v>14</v>
      </c>
      <c r="AF25" s="19"/>
      <c r="AG25" s="19"/>
      <c r="AH25" s="19"/>
      <c r="AI25" s="19"/>
      <c r="AJ25" s="19"/>
      <c r="AK25" s="19"/>
      <c r="AL25" s="19"/>
      <c r="AM25" s="19"/>
      <c r="AN25" s="23"/>
    </row>
    <row r="26" spans="1:40" ht="17.25" customHeight="1" x14ac:dyDescent="0.25">
      <c r="A26" s="17"/>
      <c r="B26" s="164">
        <v>15</v>
      </c>
      <c r="C26" s="165">
        <v>15</v>
      </c>
      <c r="D26" s="166" t="s">
        <v>85</v>
      </c>
      <c r="E26" s="167" t="s">
        <v>149</v>
      </c>
      <c r="F26" s="164" t="str">
        <f>_xlfn.XLOOKUP(Tabla1[[#This Row],[Estado]],Control!$C$33:$C$35,Control!$B$33:$B$35,"")</f>
        <v/>
      </c>
      <c r="G26" s="168"/>
      <c r="H26" s="169"/>
      <c r="I26" s="164" t="s">
        <v>5</v>
      </c>
      <c r="J26" s="16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26" s="164" t="s">
        <v>73</v>
      </c>
      <c r="L26" s="164">
        <v>2</v>
      </c>
      <c r="M26" s="165"/>
      <c r="N26" s="17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4</v>
      </c>
      <c r="O26" s="1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6</v>
      </c>
      <c r="P26" s="17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6" s="16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6" s="16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6" s="211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6" s="174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6" s="16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6" s="16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6" s="16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6" s="16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6" s="16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6" s="16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6" s="16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6" s="172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6" s="96" t="b">
        <f>ISNUMBER(SEARCH($H$4,Tabla1[[#This Row],[Materia]],1))</f>
        <v>1</v>
      </c>
      <c r="AD26" s="96" t="b">
        <f>IFERROR(IF(
    (COUNTIF(Tabla1[[#This Row],[R1]:[A9]], _xlfn.XLOOKUP($H$4,Tabla1[Materia],Tabla1[Numero],""))) &gt; 0,
    TRUE,
    FALSE
),FALSE)</f>
        <v>0</v>
      </c>
      <c r="AE26" s="97">
        <v>15</v>
      </c>
      <c r="AF26" s="19"/>
      <c r="AG26" s="19"/>
      <c r="AH26" s="19"/>
      <c r="AI26" s="19"/>
      <c r="AJ26" s="19"/>
      <c r="AK26" s="19"/>
      <c r="AL26" s="19"/>
      <c r="AM26" s="19"/>
      <c r="AN26" s="23"/>
    </row>
    <row r="27" spans="1:40" ht="17.25" customHeight="1" x14ac:dyDescent="0.25">
      <c r="A27" s="17"/>
      <c r="B27" s="179">
        <v>16</v>
      </c>
      <c r="C27" s="180">
        <v>16</v>
      </c>
      <c r="D27" s="181" t="s">
        <v>85</v>
      </c>
      <c r="E27" s="182" t="s">
        <v>150</v>
      </c>
      <c r="F27" s="179" t="str">
        <f>_xlfn.XLOOKUP(Tabla1[[#This Row],[Estado]],Control!$C$33:$C$35,Control!$B$33:$B$35,"")</f>
        <v/>
      </c>
      <c r="G27" s="183"/>
      <c r="H27" s="184"/>
      <c r="I27" s="179" t="s">
        <v>5</v>
      </c>
      <c r="J27" s="17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SI</v>
      </c>
      <c r="K27" s="179" t="s">
        <v>73</v>
      </c>
      <c r="L27" s="179">
        <v>2</v>
      </c>
      <c r="M27" s="180"/>
      <c r="N27" s="185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27" s="18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7" s="18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7" s="17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7" s="179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7" s="21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7" s="185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7" s="17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7" s="17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7" s="17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7" s="179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7" s="179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7" s="179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7" s="179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7" s="187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7" s="96" t="b">
        <f>ISNUMBER(SEARCH($H$4,Tabla1[[#This Row],[Materia]],1))</f>
        <v>1</v>
      </c>
      <c r="AD27" s="96" t="b">
        <f>IFERROR(IF(
    (COUNTIF(Tabla1[[#This Row],[R1]:[A9]], _xlfn.XLOOKUP($H$4,Tabla1[Materia],Tabla1[Numero],""))) &gt; 0,
    TRUE,
    FALSE
),FALSE)</f>
        <v>0</v>
      </c>
      <c r="AE27" s="97">
        <v>16</v>
      </c>
      <c r="AF27" s="19"/>
      <c r="AG27" s="19"/>
      <c r="AH27" s="19"/>
      <c r="AI27" s="19"/>
      <c r="AJ27" s="19"/>
      <c r="AK27" s="19"/>
      <c r="AL27" s="19"/>
      <c r="AM27" s="19"/>
      <c r="AN27" s="23"/>
    </row>
    <row r="28" spans="1:40" ht="17.25" customHeight="1" x14ac:dyDescent="0.25">
      <c r="A28" s="17"/>
      <c r="B28" s="13" t="s">
        <v>31</v>
      </c>
      <c r="C28" s="136" t="s">
        <v>31</v>
      </c>
      <c r="D28" s="159" t="s">
        <v>85</v>
      </c>
      <c r="E28" s="63" t="s">
        <v>151</v>
      </c>
      <c r="F28" s="13" t="str">
        <f>_xlfn.XLOOKUP(Tabla1[[#This Row],[Estado]],Control!$C$33:$C$35,Control!$B$33:$B$35,"")</f>
        <v/>
      </c>
      <c r="G28" s="101"/>
      <c r="H28" s="144"/>
      <c r="I28" s="13" t="s">
        <v>15</v>
      </c>
      <c r="J28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28" s="13" t="s">
        <v>74</v>
      </c>
      <c r="L28" s="13">
        <v>1.5</v>
      </c>
      <c r="M28" s="136">
        <v>2</v>
      </c>
      <c r="N28" s="11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8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</v>
      </c>
      <c r="P28" s="13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4</v>
      </c>
      <c r="Q28" s="13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8</v>
      </c>
      <c r="R28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8" s="9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8" s="110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8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8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8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8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8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8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8" s="1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8" s="92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8" s="96" t="b">
        <f>ISNUMBER(SEARCH($H$4,Tabla1[[#This Row],[Materia]],1))</f>
        <v>1</v>
      </c>
      <c r="AD28" s="96" t="b">
        <f>IFERROR(IF(
    (COUNTIF(Tabla1[[#This Row],[R1]:[A9]], _xlfn.XLOOKUP($H$4,Tabla1[Materia],Tabla1[Numero],""))) &gt; 0,
    TRUE,
    FALSE
),FALSE)</f>
        <v>0</v>
      </c>
      <c r="AE28" s="97">
        <v>17</v>
      </c>
      <c r="AF28" s="19"/>
      <c r="AG28" s="19"/>
      <c r="AH28" s="19"/>
      <c r="AI28" s="19"/>
      <c r="AJ28" s="19"/>
      <c r="AK28" s="19"/>
      <c r="AL28" s="19"/>
      <c r="AM28" s="19"/>
      <c r="AN28" s="23"/>
    </row>
    <row r="29" spans="1:40" ht="17.25" customHeight="1" x14ac:dyDescent="0.25">
      <c r="A29" s="17"/>
      <c r="B29" s="13" t="s">
        <v>32</v>
      </c>
      <c r="C29" s="136" t="s">
        <v>32</v>
      </c>
      <c r="D29" s="159" t="s">
        <v>85</v>
      </c>
      <c r="E29" s="63" t="s">
        <v>136</v>
      </c>
      <c r="F29" s="13" t="str">
        <f>_xlfn.XLOOKUP(Tabla1[[#This Row],[Estado]],Control!$C$33:$C$35,Control!$B$33:$B$35,"")</f>
        <v/>
      </c>
      <c r="G29" s="101"/>
      <c r="H29" s="144"/>
      <c r="I29" s="13" t="s">
        <v>16</v>
      </c>
      <c r="J29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29" s="13" t="s">
        <v>74</v>
      </c>
      <c r="L29" s="13">
        <v>2</v>
      </c>
      <c r="M29" s="136">
        <v>2</v>
      </c>
      <c r="N29" s="11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9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5</v>
      </c>
      <c r="P29" s="13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6</v>
      </c>
      <c r="Q29" s="13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7</v>
      </c>
      <c r="R29" s="1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29" s="92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29" s="110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29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29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29" s="1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29" s="1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29" s="1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29" s="1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29" s="1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29" s="92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29" s="96" t="b">
        <f>ISNUMBER(SEARCH($H$4,Tabla1[[#This Row],[Materia]],1))</f>
        <v>1</v>
      </c>
      <c r="AD29" s="96" t="b">
        <f>IFERROR(IF(
    (COUNTIF(Tabla1[[#This Row],[R1]:[A9]], _xlfn.XLOOKUP($H$4,Tabla1[Materia],Tabla1[Numero],""))) &gt; 0,
    TRUE,
    FALSE
),FALSE)</f>
        <v>0</v>
      </c>
      <c r="AE29" s="97">
        <v>18</v>
      </c>
      <c r="AF29" s="19"/>
      <c r="AG29" s="19"/>
      <c r="AH29" s="19"/>
      <c r="AI29" s="19"/>
      <c r="AJ29" s="19"/>
      <c r="AK29" s="19"/>
      <c r="AL29" s="19"/>
      <c r="AM29" s="19"/>
      <c r="AN29" s="23"/>
    </row>
    <row r="30" spans="1:40" ht="17.25" customHeight="1" thickBot="1" x14ac:dyDescent="0.3">
      <c r="A30" s="17"/>
      <c r="B30" s="115" t="s">
        <v>33</v>
      </c>
      <c r="C30" s="150" t="s">
        <v>33</v>
      </c>
      <c r="D30" s="188" t="s">
        <v>85</v>
      </c>
      <c r="E30" s="118" t="s">
        <v>137</v>
      </c>
      <c r="F30" s="115" t="str">
        <f>_xlfn.XLOOKUP(Tabla1[[#This Row],[Estado]],Control!$C$33:$C$35,Control!$B$33:$B$35,"")</f>
        <v/>
      </c>
      <c r="G30" s="121"/>
      <c r="H30" s="145"/>
      <c r="I30" s="115" t="s">
        <v>16</v>
      </c>
      <c r="J30" s="11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30" s="115" t="s">
        <v>74</v>
      </c>
      <c r="L30" s="115">
        <v>2</v>
      </c>
      <c r="M30" s="150">
        <v>2</v>
      </c>
      <c r="N30" s="21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30" s="11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5</v>
      </c>
      <c r="P30" s="11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6</v>
      </c>
      <c r="Q30" s="115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7</v>
      </c>
      <c r="R30" s="115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0" s="12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0" s="213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30" s="11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30" s="11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0" s="115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0" s="115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0" s="115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0" s="115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0" s="115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0" s="126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0" s="96" t="b">
        <f>ISNUMBER(SEARCH($H$4,Tabla1[[#This Row],[Materia]],1))</f>
        <v>1</v>
      </c>
      <c r="AD30" s="96" t="b">
        <f>IFERROR(IF(
    (COUNTIF(Tabla1[[#This Row],[R1]:[A9]], _xlfn.XLOOKUP($H$4,Tabla1[Materia],Tabla1[Numero],""))) &gt; 0,
    TRUE,
    FALSE
),FALSE)</f>
        <v>0</v>
      </c>
      <c r="AE30" s="97">
        <v>19</v>
      </c>
      <c r="AF30" s="19"/>
      <c r="AG30" s="19"/>
      <c r="AH30" s="19"/>
      <c r="AI30" s="19"/>
      <c r="AJ30" s="19"/>
      <c r="AK30" s="19"/>
      <c r="AL30" s="19"/>
      <c r="AM30" s="19"/>
      <c r="AN30" s="23"/>
    </row>
    <row r="31" spans="1:40" ht="17.25" customHeight="1" x14ac:dyDescent="0.25">
      <c r="A31" s="17"/>
      <c r="B31" s="44">
        <v>17</v>
      </c>
      <c r="C31" s="137">
        <v>17</v>
      </c>
      <c r="D31" s="160" t="s">
        <v>86</v>
      </c>
      <c r="E31" s="64" t="s">
        <v>116</v>
      </c>
      <c r="F31" s="44" t="str">
        <f>_xlfn.XLOOKUP(Tabla1[[#This Row],[Estado]],Control!$C$33:$C$35,Control!$B$33:$B$35,"")</f>
        <v/>
      </c>
      <c r="G31" s="102"/>
      <c r="H31" s="146"/>
      <c r="I31" s="44" t="s">
        <v>5</v>
      </c>
      <c r="J31" s="4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31" s="44" t="s">
        <v>73</v>
      </c>
      <c r="L31" s="44">
        <v>5</v>
      </c>
      <c r="M31" s="137"/>
      <c r="N31" s="17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12</v>
      </c>
      <c r="O31" s="178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13</v>
      </c>
      <c r="P31" s="178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1" s="15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1" s="15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1" s="21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1" s="17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1" s="15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</v>
      </c>
      <c r="V31" s="15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4</v>
      </c>
      <c r="W31" s="15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1" s="15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1" s="15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1" s="152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1" s="15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1" s="95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1" s="96" t="b">
        <f>ISNUMBER(SEARCH($H$4,Tabla1[[#This Row],[Materia]],1))</f>
        <v>1</v>
      </c>
      <c r="AD31" s="96" t="b">
        <f>IFERROR(IF(
    (COUNTIF(Tabla1[[#This Row],[R1]:[A9]], _xlfn.XLOOKUP($H$4,Tabla1[Materia],Tabla1[Numero],""))) &gt; 0,
    TRUE,
    FALSE
),FALSE)</f>
        <v>0</v>
      </c>
      <c r="AE31" s="97">
        <v>20</v>
      </c>
      <c r="AF31" s="19"/>
      <c r="AG31" s="19"/>
      <c r="AI31" s="19"/>
      <c r="AJ31" s="19"/>
      <c r="AK31" s="19"/>
      <c r="AL31" s="19"/>
      <c r="AM31" s="19"/>
      <c r="AN31" s="23"/>
    </row>
    <row r="32" spans="1:40" ht="17.25" customHeight="1" x14ac:dyDescent="0.25">
      <c r="A32" s="17"/>
      <c r="B32" s="44">
        <v>18</v>
      </c>
      <c r="C32" s="137">
        <v>18</v>
      </c>
      <c r="D32" s="160" t="s">
        <v>86</v>
      </c>
      <c r="E32" s="64" t="s">
        <v>117</v>
      </c>
      <c r="F32" s="44" t="str">
        <f>_xlfn.XLOOKUP(Tabla1[[#This Row],[Estado]],Control!$C$33:$C$35,Control!$B$33:$B$35,"")</f>
        <v/>
      </c>
      <c r="G32" s="102"/>
      <c r="H32" s="146"/>
      <c r="I32" s="44" t="s">
        <v>5</v>
      </c>
      <c r="J32" s="4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32" s="44" t="s">
        <v>73</v>
      </c>
      <c r="L32" s="44">
        <v>5</v>
      </c>
      <c r="M32" s="137"/>
      <c r="N32" s="10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O32" s="7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12</v>
      </c>
      <c r="P32" s="7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2" s="15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2" s="15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2" s="21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2" s="7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2" s="15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</v>
      </c>
      <c r="V32" s="15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4</v>
      </c>
      <c r="W32" s="15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2" s="15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2" s="15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2" s="152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2" s="15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2" s="95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2" s="96" t="b">
        <f>ISNUMBER(SEARCH($H$4,Tabla1[[#This Row],[Materia]],1))</f>
        <v>1</v>
      </c>
      <c r="AD32" s="96" t="b">
        <f>IFERROR(IF(
    (COUNTIF(Tabla1[[#This Row],[R1]:[A9]], _xlfn.XLOOKUP($H$4,Tabla1[Materia],Tabla1[Numero],""))) &gt; 0,
    TRUE,
    FALSE
),FALSE)</f>
        <v>0</v>
      </c>
      <c r="AE32" s="97">
        <v>21</v>
      </c>
      <c r="AF32" s="19"/>
      <c r="AG32" s="19"/>
      <c r="AH32" s="19"/>
      <c r="AI32" s="19"/>
      <c r="AJ32" s="19"/>
      <c r="AK32" s="19"/>
      <c r="AL32" s="19"/>
      <c r="AM32" s="19"/>
      <c r="AN32" s="23"/>
    </row>
    <row r="33" spans="1:40" ht="17.25" customHeight="1" x14ac:dyDescent="0.25">
      <c r="A33" s="17"/>
      <c r="B33" s="44">
        <v>19</v>
      </c>
      <c r="C33" s="137">
        <v>19</v>
      </c>
      <c r="D33" s="160" t="s">
        <v>86</v>
      </c>
      <c r="E33" s="64" t="s">
        <v>152</v>
      </c>
      <c r="F33" s="44" t="str">
        <f>_xlfn.XLOOKUP(Tabla1[[#This Row],[Estado]],Control!$C$33:$C$35,Control!$B$33:$B$35,"")</f>
        <v/>
      </c>
      <c r="G33" s="102"/>
      <c r="H33" s="146"/>
      <c r="I33" s="44" t="s">
        <v>5</v>
      </c>
      <c r="J33" s="4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33" s="44" t="s">
        <v>73</v>
      </c>
      <c r="L33" s="44">
        <v>4</v>
      </c>
      <c r="M33" s="137"/>
      <c r="N33" s="7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O33" s="7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12</v>
      </c>
      <c r="P33" s="7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3" s="15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3" s="15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3" s="21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3" s="7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3" s="15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</v>
      </c>
      <c r="V33" s="15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4</v>
      </c>
      <c r="W33" s="15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3" s="15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3" s="15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3" s="152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3" s="15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3" s="95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3" s="96" t="b">
        <f>ISNUMBER(SEARCH($H$4,Tabla1[[#This Row],[Materia]],1))</f>
        <v>1</v>
      </c>
      <c r="AD33" s="96" t="b">
        <f>IFERROR(IF(
    (COUNTIF(Tabla1[[#This Row],[R1]:[A9]], _xlfn.XLOOKUP($H$4,Tabla1[Materia],Tabla1[Numero],""))) &gt; 0,
    TRUE,
    FALSE
),FALSE)</f>
        <v>0</v>
      </c>
      <c r="AE33" s="97">
        <v>22</v>
      </c>
      <c r="AF33" s="19"/>
      <c r="AG33" s="19"/>
      <c r="AH33" s="19"/>
      <c r="AI33" s="19"/>
      <c r="AJ33" s="19"/>
      <c r="AK33" s="19"/>
      <c r="AL33" s="19"/>
      <c r="AM33" s="19"/>
      <c r="AN33" s="23"/>
    </row>
    <row r="34" spans="1:40" ht="17.25" customHeight="1" x14ac:dyDescent="0.25">
      <c r="A34" s="17"/>
      <c r="B34" s="44">
        <v>20</v>
      </c>
      <c r="C34" s="137">
        <v>20</v>
      </c>
      <c r="D34" s="160" t="s">
        <v>86</v>
      </c>
      <c r="E34" s="64" t="s">
        <v>118</v>
      </c>
      <c r="F34" s="44" t="str">
        <f>_xlfn.XLOOKUP(Tabla1[[#This Row],[Estado]],Control!$C$33:$C$35,Control!$B$33:$B$35,"")</f>
        <v/>
      </c>
      <c r="G34" s="102"/>
      <c r="H34" s="146"/>
      <c r="I34" s="44" t="s">
        <v>5</v>
      </c>
      <c r="J34" s="4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34" s="44" t="s">
        <v>73</v>
      </c>
      <c r="L34" s="44">
        <v>4</v>
      </c>
      <c r="M34" s="137"/>
      <c r="N34" s="7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O34" s="7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P34" s="7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13</v>
      </c>
      <c r="Q34" s="15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4" s="15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4" s="21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4" s="7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4" s="15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4</v>
      </c>
      <c r="V34" s="15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4" s="15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4" s="15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4" s="15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4" s="152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4" s="15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4" s="95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4" s="96" t="b">
        <f>ISNUMBER(SEARCH($H$4,Tabla1[[#This Row],[Materia]],1))</f>
        <v>1</v>
      </c>
      <c r="AD34" s="96" t="b">
        <f>IFERROR(IF(
    (COUNTIF(Tabla1[[#This Row],[R1]:[A9]], _xlfn.XLOOKUP($H$4,Tabla1[Materia],Tabla1[Numero],""))) &gt; 0,
    TRUE,
    FALSE
),FALSE)</f>
        <v>0</v>
      </c>
      <c r="AE34" s="97">
        <v>23</v>
      </c>
      <c r="AF34" s="19"/>
      <c r="AG34" s="19"/>
      <c r="AH34" s="19"/>
      <c r="AI34" s="19"/>
      <c r="AJ34" s="19"/>
      <c r="AK34" s="19"/>
      <c r="AL34" s="19"/>
      <c r="AM34" s="19"/>
      <c r="AN34" s="23"/>
    </row>
    <row r="35" spans="1:40" ht="17.25" customHeight="1" x14ac:dyDescent="0.25">
      <c r="A35" s="17"/>
      <c r="B35" s="44">
        <v>21</v>
      </c>
      <c r="C35" s="137">
        <v>21</v>
      </c>
      <c r="D35" s="160" t="s">
        <v>86</v>
      </c>
      <c r="E35" s="64" t="s">
        <v>119</v>
      </c>
      <c r="F35" s="44" t="str">
        <f>_xlfn.XLOOKUP(Tabla1[[#This Row],[Estado]],Control!$C$33:$C$35,Control!$B$33:$B$35,"")</f>
        <v/>
      </c>
      <c r="G35" s="102"/>
      <c r="H35" s="146"/>
      <c r="I35" s="44" t="s">
        <v>5</v>
      </c>
      <c r="J35" s="4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35" s="44" t="s">
        <v>73</v>
      </c>
      <c r="L35" s="44">
        <v>3</v>
      </c>
      <c r="M35" s="137"/>
      <c r="N35" s="7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35" s="7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10</v>
      </c>
      <c r="P35" s="7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11</v>
      </c>
      <c r="Q35" s="15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5" s="15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5" s="21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5" s="7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4</v>
      </c>
      <c r="U35" s="15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6</v>
      </c>
      <c r="V35" s="15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7</v>
      </c>
      <c r="W35" s="152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8</v>
      </c>
      <c r="X35" s="15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5" s="15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5" s="152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5" s="15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5" s="95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5" s="96" t="b">
        <f>ISNUMBER(SEARCH($H$4,Tabla1[[#This Row],[Materia]],1))</f>
        <v>1</v>
      </c>
      <c r="AD35" s="96" t="b">
        <f>IFERROR(IF(
    (COUNTIF(Tabla1[[#This Row],[R1]:[A9]], _xlfn.XLOOKUP($H$4,Tabla1[Materia],Tabla1[Numero],""))) &gt; 0,
    TRUE,
    FALSE
),FALSE)</f>
        <v>0</v>
      </c>
      <c r="AE35" s="97">
        <v>24</v>
      </c>
      <c r="AF35" s="19"/>
      <c r="AG35" s="19"/>
      <c r="AH35" s="19"/>
      <c r="AI35" s="19"/>
      <c r="AJ35" s="19"/>
      <c r="AK35" s="19"/>
      <c r="AL35" s="19"/>
      <c r="AM35" s="19"/>
      <c r="AN35" s="23"/>
    </row>
    <row r="36" spans="1:40" ht="17.25" customHeight="1" x14ac:dyDescent="0.25">
      <c r="A36" s="17"/>
      <c r="B36" s="44">
        <v>22</v>
      </c>
      <c r="C36" s="137">
        <v>22</v>
      </c>
      <c r="D36" s="160" t="s">
        <v>86</v>
      </c>
      <c r="E36" s="64" t="s">
        <v>120</v>
      </c>
      <c r="F36" s="44" t="str">
        <f>_xlfn.XLOOKUP(Tabla1[[#This Row],[Estado]],Control!$C$33:$C$35,Control!$B$33:$B$35,"")</f>
        <v/>
      </c>
      <c r="G36" s="102"/>
      <c r="H36" s="146"/>
      <c r="I36" s="44" t="s">
        <v>5</v>
      </c>
      <c r="J36" s="4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36" s="44" t="s">
        <v>73</v>
      </c>
      <c r="L36" s="44">
        <v>3</v>
      </c>
      <c r="M36" s="137"/>
      <c r="N36" s="7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12</v>
      </c>
      <c r="O36" s="7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6" s="7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6" s="15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6" s="15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6" s="21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6" s="7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6" s="15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</v>
      </c>
      <c r="V36" s="15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8</v>
      </c>
      <c r="W36" s="15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6" s="15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6" s="15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6" s="152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6" s="15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6" s="95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6" s="96" t="b">
        <f>ISNUMBER(SEARCH($H$4,Tabla1[[#This Row],[Materia]],1))</f>
        <v>1</v>
      </c>
      <c r="AD36" s="96" t="b">
        <f>IFERROR(IF(
    (COUNTIF(Tabla1[[#This Row],[R1]:[A9]], _xlfn.XLOOKUP($H$4,Tabla1[Materia],Tabla1[Numero],""))) &gt; 0,
    TRUE,
    FALSE
),FALSE)</f>
        <v>0</v>
      </c>
      <c r="AE36" s="97">
        <v>25</v>
      </c>
      <c r="AF36" s="19"/>
      <c r="AG36" s="19"/>
      <c r="AH36" s="19"/>
      <c r="AI36" s="19"/>
      <c r="AJ36" s="19"/>
      <c r="AK36" s="19"/>
      <c r="AL36" s="19"/>
      <c r="AM36" s="19"/>
      <c r="AN36" s="23"/>
    </row>
    <row r="37" spans="1:40" ht="17.25" customHeight="1" x14ac:dyDescent="0.25">
      <c r="A37" s="17"/>
      <c r="B37" s="44">
        <v>23</v>
      </c>
      <c r="C37" s="137">
        <v>23</v>
      </c>
      <c r="D37" s="160" t="s">
        <v>86</v>
      </c>
      <c r="E37" s="64" t="s">
        <v>153</v>
      </c>
      <c r="F37" s="44" t="str">
        <f>_xlfn.XLOOKUP(Tabla1[[#This Row],[Estado]],Control!$C$33:$C$35,Control!$B$33:$B$35,"")</f>
        <v/>
      </c>
      <c r="G37" s="102"/>
      <c r="H37" s="146"/>
      <c r="I37" s="44" t="s">
        <v>5</v>
      </c>
      <c r="J37" s="4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37" s="44" t="s">
        <v>73</v>
      </c>
      <c r="L37" s="44">
        <v>2</v>
      </c>
      <c r="M37" s="137"/>
      <c r="N37" s="7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37" s="7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P37" s="7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15</v>
      </c>
      <c r="Q37" s="15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7" s="15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7" s="21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7" s="7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37" s="15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V37" s="152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4</v>
      </c>
      <c r="W37" s="152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6</v>
      </c>
      <c r="X37" s="15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7" s="15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7" s="152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7" s="15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7" s="95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7" s="96" t="b">
        <f>ISNUMBER(SEARCH($H$4,Tabla1[[#This Row],[Materia]],1))</f>
        <v>1</v>
      </c>
      <c r="AD37" s="96" t="b">
        <f>IFERROR(IF(
    (COUNTIF(Tabla1[[#This Row],[R1]:[A9]], _xlfn.XLOOKUP($H$4,Tabla1[Materia],Tabla1[Numero],""))) &gt; 0,
    TRUE,
    FALSE
),FALSE)</f>
        <v>0</v>
      </c>
      <c r="AE37" s="97">
        <v>26</v>
      </c>
      <c r="AF37" s="19"/>
      <c r="AG37" s="19"/>
      <c r="AH37" s="19"/>
      <c r="AI37" s="19"/>
      <c r="AJ37" s="19"/>
      <c r="AK37" s="19"/>
      <c r="AL37" s="19"/>
      <c r="AM37" s="19"/>
      <c r="AN37" s="23"/>
    </row>
    <row r="38" spans="1:40" ht="17.25" customHeight="1" x14ac:dyDescent="0.25">
      <c r="A38" s="17"/>
      <c r="B38" s="44">
        <v>24</v>
      </c>
      <c r="C38" s="137">
        <v>24</v>
      </c>
      <c r="D38" s="160" t="s">
        <v>86</v>
      </c>
      <c r="E38" s="64" t="s">
        <v>121</v>
      </c>
      <c r="F38" s="44" t="str">
        <f>_xlfn.XLOOKUP(Tabla1[[#This Row],[Estado]],Control!$C$33:$C$35,Control!$B$33:$B$35,"")</f>
        <v/>
      </c>
      <c r="G38" s="102"/>
      <c r="H38" s="146"/>
      <c r="I38" s="44" t="s">
        <v>5</v>
      </c>
      <c r="J38" s="4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38" s="44" t="s">
        <v>73</v>
      </c>
      <c r="L38" s="44">
        <v>3</v>
      </c>
      <c r="M38" s="137"/>
      <c r="N38" s="7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38" s="7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</v>
      </c>
      <c r="P38" s="7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8" s="15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8" s="152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8" s="21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8" s="70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38" s="15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38" s="15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8" s="15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8" s="152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8" s="152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8" s="152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8" s="152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8" s="95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8" s="96" t="b">
        <f>ISNUMBER(SEARCH($H$4,Tabla1[[#This Row],[Materia]],1))</f>
        <v>1</v>
      </c>
      <c r="AD38" s="96" t="b">
        <f>IFERROR(IF(
    (COUNTIF(Tabla1[[#This Row],[R1]:[A9]], _xlfn.XLOOKUP($H$4,Tabla1[Materia],Tabla1[Numero],""))) &gt; 0,
    TRUE,
    FALSE
),FALSE)</f>
        <v>0</v>
      </c>
      <c r="AE38" s="97">
        <v>27</v>
      </c>
      <c r="AF38" s="19"/>
      <c r="AG38" s="19"/>
      <c r="AH38" s="19"/>
      <c r="AI38" s="19"/>
      <c r="AJ38" s="19"/>
      <c r="AK38" s="19"/>
      <c r="AL38" s="19"/>
      <c r="AM38" s="19"/>
      <c r="AN38" s="23"/>
    </row>
    <row r="39" spans="1:40" ht="17.25" customHeight="1" thickBot="1" x14ac:dyDescent="0.3">
      <c r="A39" s="17"/>
      <c r="B39" s="195">
        <v>25</v>
      </c>
      <c r="C39" s="196">
        <v>25</v>
      </c>
      <c r="D39" s="197" t="s">
        <v>86</v>
      </c>
      <c r="E39" s="198" t="s">
        <v>154</v>
      </c>
      <c r="F39" s="195" t="str">
        <f>_xlfn.XLOOKUP(Tabla1[[#This Row],[Estado]],Control!$C$33:$C$35,Control!$B$33:$B$35,"")</f>
        <v/>
      </c>
      <c r="G39" s="199"/>
      <c r="H39" s="200"/>
      <c r="I39" s="195" t="s">
        <v>5</v>
      </c>
      <c r="J39" s="19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39" s="195" t="s">
        <v>73</v>
      </c>
      <c r="L39" s="195">
        <v>2</v>
      </c>
      <c r="M39" s="196"/>
      <c r="N39" s="201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39" s="20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9" s="20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9" s="20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9" s="20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39" s="216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39" s="20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16</v>
      </c>
      <c r="U39" s="20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39" s="20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39" s="20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39" s="20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39" s="20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39" s="20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39" s="20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39" s="20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39" s="96" t="b">
        <f>ISNUMBER(SEARCH($H$4,Tabla1[[#This Row],[Materia]],1))</f>
        <v>1</v>
      </c>
      <c r="AD39" s="96" t="b">
        <f>IFERROR(IF(
    (COUNTIF(Tabla1[[#This Row],[R1]:[A9]], _xlfn.XLOOKUP($H$4,Tabla1[Materia],Tabla1[Numero],""))) &gt; 0,
    TRUE,
    FALSE
),FALSE)</f>
        <v>0</v>
      </c>
      <c r="AE39" s="97">
        <v>28</v>
      </c>
      <c r="AF39" s="19"/>
      <c r="AG39" s="19"/>
      <c r="AH39" s="19"/>
      <c r="AI39" s="19"/>
      <c r="AJ39" s="19"/>
      <c r="AK39" s="19"/>
      <c r="AL39" s="19"/>
      <c r="AM39" s="19"/>
      <c r="AN39" s="23"/>
    </row>
    <row r="40" spans="1:40" ht="17.25" customHeight="1" x14ac:dyDescent="0.25">
      <c r="A40" s="17"/>
      <c r="B40" s="43">
        <v>26</v>
      </c>
      <c r="C40" s="138">
        <v>26</v>
      </c>
      <c r="D40" s="161" t="s">
        <v>87</v>
      </c>
      <c r="E40" s="65" t="s">
        <v>24</v>
      </c>
      <c r="F40" s="43" t="str">
        <f>_xlfn.XLOOKUP(Tabla1[[#This Row],[Estado]],Control!$C$33:$C$35,Control!$B$33:$B$35,"")</f>
        <v/>
      </c>
      <c r="G40" s="103"/>
      <c r="H40" s="147"/>
      <c r="I40" s="43" t="s">
        <v>5</v>
      </c>
      <c r="J40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40" s="43" t="s">
        <v>73</v>
      </c>
      <c r="L40" s="43">
        <v>3</v>
      </c>
      <c r="M40" s="138"/>
      <c r="N40" s="7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15</v>
      </c>
      <c r="O40" s="7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0" s="7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0" s="7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0" s="7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0" s="7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0" s="7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5</v>
      </c>
      <c r="U40" s="7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40" s="7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0" s="7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0" s="7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0" s="7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0" s="7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0" s="7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0" s="7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0" s="96" t="b">
        <f>ISNUMBER(SEARCH($H$4,Tabla1[[#This Row],[Materia]],1))</f>
        <v>1</v>
      </c>
      <c r="AD40" s="96" t="b">
        <f>IFERROR(IF(
    (COUNTIF(Tabla1[[#This Row],[R1]:[A9]], _xlfn.XLOOKUP($H$4,Tabla1[Materia],Tabla1[Numero],""))) &gt; 0,
    TRUE,
    FALSE
),FALSE)</f>
        <v>0</v>
      </c>
      <c r="AE40" s="97">
        <v>29</v>
      </c>
      <c r="AF40" s="19"/>
      <c r="AG40" s="19"/>
      <c r="AH40" s="19"/>
      <c r="AI40" s="19"/>
      <c r="AJ40" s="19"/>
      <c r="AK40" s="19"/>
      <c r="AL40" s="19"/>
      <c r="AM40" s="19"/>
      <c r="AN40" s="23"/>
    </row>
    <row r="41" spans="1:40" ht="17.25" customHeight="1" x14ac:dyDescent="0.25">
      <c r="A41" s="17"/>
      <c r="B41" s="43">
        <v>27</v>
      </c>
      <c r="C41" s="138">
        <v>27</v>
      </c>
      <c r="D41" s="161" t="s">
        <v>87</v>
      </c>
      <c r="E41" s="65" t="s">
        <v>122</v>
      </c>
      <c r="F41" s="43" t="str">
        <f>_xlfn.XLOOKUP(Tabla1[[#This Row],[Estado]],Control!$C$33:$C$35,Control!$B$33:$B$35,"")</f>
        <v/>
      </c>
      <c r="G41" s="103"/>
      <c r="H41" s="147"/>
      <c r="I41" s="43" t="s">
        <v>5</v>
      </c>
      <c r="J41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41" s="43" t="s">
        <v>73</v>
      </c>
      <c r="L41" s="43">
        <v>5</v>
      </c>
      <c r="M41" s="138"/>
      <c r="N41" s="7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41" s="7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11</v>
      </c>
      <c r="P41" s="73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18</v>
      </c>
      <c r="Q41" s="73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19</v>
      </c>
      <c r="R41" s="73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23</v>
      </c>
      <c r="S41" s="7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1" s="7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</v>
      </c>
      <c r="U41" s="7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10</v>
      </c>
      <c r="V41" s="73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12</v>
      </c>
      <c r="W41" s="7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1" s="7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1" s="7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1" s="7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1" s="7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1" s="7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1" s="96" t="b">
        <f>ISNUMBER(SEARCH($H$4,Tabla1[[#This Row],[Materia]],1))</f>
        <v>1</v>
      </c>
      <c r="AD41" s="96" t="b">
        <f>IFERROR(IF(
    (COUNTIF(Tabla1[[#This Row],[R1]:[A9]], _xlfn.XLOOKUP($H$4,Tabla1[Materia],Tabla1[Numero],""))) &gt; 0,
    TRUE,
    FALSE
),FALSE)</f>
        <v>0</v>
      </c>
      <c r="AE41" s="97">
        <v>30</v>
      </c>
      <c r="AF41" s="19"/>
      <c r="AG41" s="19"/>
      <c r="AH41" s="19"/>
      <c r="AI41" s="19"/>
      <c r="AJ41" s="19"/>
      <c r="AK41" s="19"/>
      <c r="AL41" s="19"/>
      <c r="AM41" s="19"/>
      <c r="AN41" s="23"/>
    </row>
    <row r="42" spans="1:40" ht="17.25" customHeight="1" x14ac:dyDescent="0.25">
      <c r="A42" s="17"/>
      <c r="B42" s="43">
        <v>28</v>
      </c>
      <c r="C42" s="138">
        <v>28</v>
      </c>
      <c r="D42" s="161" t="s">
        <v>87</v>
      </c>
      <c r="E42" s="65" t="s">
        <v>123</v>
      </c>
      <c r="F42" s="43" t="str">
        <f>_xlfn.XLOOKUP(Tabla1[[#This Row],[Estado]],Control!$C$33:$C$35,Control!$B$33:$B$35,"")</f>
        <v/>
      </c>
      <c r="G42" s="103"/>
      <c r="H42" s="147"/>
      <c r="I42" s="43" t="s">
        <v>5</v>
      </c>
      <c r="J42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42" s="43" t="s">
        <v>73</v>
      </c>
      <c r="L42" s="43">
        <v>3</v>
      </c>
      <c r="M42" s="138"/>
      <c r="N42" s="7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17</v>
      </c>
      <c r="O42" s="7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2" s="7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2" s="7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2" s="7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2" s="7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2" s="7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12</v>
      </c>
      <c r="U42" s="7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13</v>
      </c>
      <c r="V42" s="7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2" s="7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2" s="7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2" s="7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2" s="7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2" s="7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2" s="7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2" s="96" t="b">
        <f>ISNUMBER(SEARCH($H$4,Tabla1[[#This Row],[Materia]],1))</f>
        <v>1</v>
      </c>
      <c r="AD42" s="96" t="b">
        <f>IFERROR(IF(
    (COUNTIF(Tabla1[[#This Row],[R1]:[A9]], _xlfn.XLOOKUP($H$4,Tabla1[Materia],Tabla1[Numero],""))) &gt; 0,
    TRUE,
    FALSE
),FALSE)</f>
        <v>0</v>
      </c>
      <c r="AE42" s="97">
        <v>31</v>
      </c>
      <c r="AF42" s="19"/>
      <c r="AG42" s="19"/>
      <c r="AH42" s="19"/>
      <c r="AI42" s="19"/>
      <c r="AJ42" s="19"/>
      <c r="AK42" s="19"/>
      <c r="AL42" s="19"/>
      <c r="AM42" s="19"/>
      <c r="AN42" s="23"/>
    </row>
    <row r="43" spans="1:40" ht="17.25" customHeight="1" x14ac:dyDescent="0.25">
      <c r="A43" s="17"/>
      <c r="B43" s="43">
        <v>29</v>
      </c>
      <c r="C43" s="138">
        <v>29</v>
      </c>
      <c r="D43" s="161" t="s">
        <v>87</v>
      </c>
      <c r="E43" s="65" t="s">
        <v>124</v>
      </c>
      <c r="F43" s="43" t="str">
        <f>_xlfn.XLOOKUP(Tabla1[[#This Row],[Estado]],Control!$C$33:$C$35,Control!$B$33:$B$35,"")</f>
        <v/>
      </c>
      <c r="G43" s="103"/>
      <c r="H43" s="147"/>
      <c r="I43" s="43" t="s">
        <v>5</v>
      </c>
      <c r="J43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43" s="43" t="s">
        <v>73</v>
      </c>
      <c r="L43" s="43">
        <v>4</v>
      </c>
      <c r="M43" s="138"/>
      <c r="N43" s="7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20</v>
      </c>
      <c r="O43" s="7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24</v>
      </c>
      <c r="P43" s="7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3" s="7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3" s="7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3" s="7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3" s="7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3</v>
      </c>
      <c r="U43" s="7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11</v>
      </c>
      <c r="V43" s="73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13</v>
      </c>
      <c r="W43" s="7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3" s="7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3" s="7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3" s="7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3" s="7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3" s="7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3" s="96" t="b">
        <f>ISNUMBER(SEARCH($H$4,Tabla1[[#This Row],[Materia]],1))</f>
        <v>1</v>
      </c>
      <c r="AD43" s="96" t="b">
        <f>IFERROR(IF(
    (COUNTIF(Tabla1[[#This Row],[R1]:[A9]], _xlfn.XLOOKUP($H$4,Tabla1[Materia],Tabla1[Numero],""))) &gt; 0,
    TRUE,
    FALSE
),FALSE)</f>
        <v>0</v>
      </c>
      <c r="AE43" s="97">
        <v>32</v>
      </c>
      <c r="AF43" s="19"/>
      <c r="AG43" s="19"/>
      <c r="AH43" s="19"/>
      <c r="AI43" s="19"/>
      <c r="AJ43" s="19"/>
      <c r="AK43" s="19"/>
      <c r="AL43" s="19"/>
      <c r="AM43" s="19"/>
      <c r="AN43" s="23"/>
    </row>
    <row r="44" spans="1:40" ht="17.25" customHeight="1" x14ac:dyDescent="0.25">
      <c r="A44" s="17"/>
      <c r="B44" s="43">
        <v>30</v>
      </c>
      <c r="C44" s="138">
        <v>30</v>
      </c>
      <c r="D44" s="161" t="s">
        <v>87</v>
      </c>
      <c r="E44" s="65" t="s">
        <v>125</v>
      </c>
      <c r="F44" s="43" t="str">
        <f>_xlfn.XLOOKUP(Tabla1[[#This Row],[Estado]],Control!$C$33:$C$35,Control!$B$33:$B$35,"")</f>
        <v/>
      </c>
      <c r="G44" s="103"/>
      <c r="H44" s="147"/>
      <c r="I44" s="43" t="s">
        <v>5</v>
      </c>
      <c r="J44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44" s="43" t="s">
        <v>73</v>
      </c>
      <c r="L44" s="43">
        <v>4</v>
      </c>
      <c r="M44" s="138"/>
      <c r="N44" s="7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17</v>
      </c>
      <c r="O44" s="7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4" s="7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4" s="7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4" s="7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4" s="7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4" s="7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12</v>
      </c>
      <c r="U44" s="7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13</v>
      </c>
      <c r="V44" s="7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4" s="7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4" s="7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4" s="7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4" s="7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4" s="7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4" s="7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4" s="96" t="b">
        <f>ISNUMBER(SEARCH($H$4,Tabla1[[#This Row],[Materia]],1))</f>
        <v>1</v>
      </c>
      <c r="AD44" s="96" t="b">
        <f>IFERROR(IF(
    (COUNTIF(Tabla1[[#This Row],[R1]:[A9]], _xlfn.XLOOKUP($H$4,Tabla1[Materia],Tabla1[Numero],""))) &gt; 0,
    TRUE,
    FALSE
),FALSE)</f>
        <v>0</v>
      </c>
      <c r="AE44" s="97">
        <v>33</v>
      </c>
      <c r="AF44" s="19"/>
      <c r="AG44" s="19"/>
      <c r="AH44" s="19"/>
      <c r="AI44" s="19"/>
      <c r="AJ44" s="19"/>
      <c r="AK44" s="19"/>
      <c r="AL44" s="19"/>
      <c r="AM44" s="19"/>
      <c r="AN44" s="23"/>
    </row>
    <row r="45" spans="1:40" ht="17.25" customHeight="1" x14ac:dyDescent="0.25">
      <c r="A45" s="17"/>
      <c r="B45" s="43">
        <v>31</v>
      </c>
      <c r="C45" s="138">
        <v>31</v>
      </c>
      <c r="D45" s="161" t="s">
        <v>87</v>
      </c>
      <c r="E45" s="65" t="s">
        <v>126</v>
      </c>
      <c r="F45" s="43" t="str">
        <f>_xlfn.XLOOKUP(Tabla1[[#This Row],[Estado]],Control!$C$33:$C$35,Control!$B$33:$B$35,"")</f>
        <v/>
      </c>
      <c r="G45" s="103"/>
      <c r="H45" s="147"/>
      <c r="I45" s="43" t="s">
        <v>5</v>
      </c>
      <c r="J45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45" s="43" t="s">
        <v>73</v>
      </c>
      <c r="L45" s="43">
        <v>4</v>
      </c>
      <c r="M45" s="138"/>
      <c r="N45" s="7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12</v>
      </c>
      <c r="O45" s="7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13</v>
      </c>
      <c r="P45" s="7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5" s="7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5" s="7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5" s="7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5" s="7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45" s="7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</v>
      </c>
      <c r="V45" s="73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4</v>
      </c>
      <c r="W45" s="7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5" s="7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5" s="7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5" s="7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5" s="7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5" s="7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5" s="96" t="b">
        <f>ISNUMBER(SEARCH($H$4,Tabla1[[#This Row],[Materia]],1))</f>
        <v>1</v>
      </c>
      <c r="AD45" s="96" t="b">
        <f>IFERROR(IF(
    (COUNTIF(Tabla1[[#This Row],[R1]:[A9]], _xlfn.XLOOKUP($H$4,Tabla1[Materia],Tabla1[Numero],""))) &gt; 0,
    TRUE,
    FALSE
),FALSE)</f>
        <v>0</v>
      </c>
      <c r="AE45" s="97">
        <v>34</v>
      </c>
      <c r="AF45" s="19"/>
      <c r="AG45" s="19"/>
      <c r="AH45" s="19"/>
      <c r="AI45" s="19"/>
      <c r="AJ45" s="19"/>
      <c r="AK45" s="19"/>
      <c r="AL45" s="19"/>
      <c r="AM45" s="19"/>
      <c r="AN45" s="23"/>
    </row>
    <row r="46" spans="1:40" ht="17.25" customHeight="1" x14ac:dyDescent="0.25">
      <c r="A46" s="17"/>
      <c r="B46" s="43">
        <v>32</v>
      </c>
      <c r="C46" s="138">
        <v>32</v>
      </c>
      <c r="D46" s="161" t="s">
        <v>87</v>
      </c>
      <c r="E46" s="65" t="s">
        <v>127</v>
      </c>
      <c r="F46" s="43" t="str">
        <f>_xlfn.XLOOKUP(Tabla1[[#This Row],[Estado]],Control!$C$33:$C$35,Control!$B$33:$B$35,"")</f>
        <v/>
      </c>
      <c r="G46" s="103"/>
      <c r="H46" s="147"/>
      <c r="I46" s="43" t="s">
        <v>5</v>
      </c>
      <c r="J46" s="4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46" s="43" t="s">
        <v>73</v>
      </c>
      <c r="L46" s="43">
        <v>5</v>
      </c>
      <c r="M46" s="138"/>
      <c r="N46" s="7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12</v>
      </c>
      <c r="O46" s="7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13</v>
      </c>
      <c r="P46" s="73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22</v>
      </c>
      <c r="Q46" s="7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6" s="73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6" s="7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6" s="7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46" s="7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</v>
      </c>
      <c r="V46" s="73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4</v>
      </c>
      <c r="W46" s="7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6" s="73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6" s="73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6" s="73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6" s="73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6" s="7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6" s="96" t="b">
        <f>ISNUMBER(SEARCH($H$4,Tabla1[[#This Row],[Materia]],1))</f>
        <v>1</v>
      </c>
      <c r="AD46" s="96" t="b">
        <f>IFERROR(IF(
    (COUNTIF(Tabla1[[#This Row],[R1]:[A9]], _xlfn.XLOOKUP($H$4,Tabla1[Materia],Tabla1[Numero],""))) &gt; 0,
    TRUE,
    FALSE
),FALSE)</f>
        <v>0</v>
      </c>
      <c r="AE46" s="97">
        <v>35</v>
      </c>
      <c r="AF46" s="19"/>
      <c r="AG46" s="19"/>
      <c r="AH46" s="19"/>
      <c r="AI46" s="19"/>
      <c r="AJ46" s="19"/>
      <c r="AK46" s="19"/>
      <c r="AL46" s="19"/>
      <c r="AM46" s="19"/>
      <c r="AN46" s="23"/>
    </row>
    <row r="47" spans="1:40" ht="17.25" customHeight="1" thickBot="1" x14ac:dyDescent="0.3">
      <c r="A47" s="17"/>
      <c r="B47" s="189">
        <v>33</v>
      </c>
      <c r="C47" s="190">
        <v>33</v>
      </c>
      <c r="D47" s="191" t="s">
        <v>87</v>
      </c>
      <c r="E47" s="192" t="s">
        <v>152</v>
      </c>
      <c r="F47" s="189" t="str">
        <f>_xlfn.XLOOKUP(Tabla1[[#This Row],[Estado]],Control!$C$33:$C$35,Control!$B$33:$B$35,"")</f>
        <v/>
      </c>
      <c r="G47" s="193"/>
      <c r="H47" s="194"/>
      <c r="I47" s="189" t="s">
        <v>5</v>
      </c>
      <c r="J47" s="18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47" s="189" t="s">
        <v>73</v>
      </c>
      <c r="L47" s="189">
        <v>3</v>
      </c>
      <c r="M47" s="190"/>
      <c r="N47" s="15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47" s="15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7" s="15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7" s="15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7" s="154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7" s="155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7" s="15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47" s="15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</v>
      </c>
      <c r="V47" s="154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4</v>
      </c>
      <c r="W47" s="154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10</v>
      </c>
      <c r="X47" s="154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7" s="154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7" s="154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7" s="154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7" s="155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7" s="96" t="b">
        <f>ISNUMBER(SEARCH($H$4,Tabla1[[#This Row],[Materia]],1))</f>
        <v>1</v>
      </c>
      <c r="AD47" s="96" t="b">
        <f>IFERROR(IF(
    (COUNTIF(Tabla1[[#This Row],[R1]:[A9]], _xlfn.XLOOKUP($H$4,Tabla1[Materia],Tabla1[Numero],""))) &gt; 0,
    TRUE,
    FALSE
),FALSE)</f>
        <v>0</v>
      </c>
      <c r="AE47" s="97">
        <v>36</v>
      </c>
      <c r="AF47" s="19"/>
      <c r="AG47" s="19"/>
      <c r="AH47" s="19"/>
      <c r="AI47" s="19"/>
      <c r="AJ47" s="19"/>
      <c r="AK47" s="19"/>
      <c r="AL47" s="19"/>
      <c r="AM47" s="19"/>
      <c r="AN47" s="23"/>
    </row>
    <row r="48" spans="1:40" ht="17.25" customHeight="1" x14ac:dyDescent="0.25">
      <c r="A48" s="17"/>
      <c r="B48" s="18">
        <v>34</v>
      </c>
      <c r="C48" s="139">
        <v>34</v>
      </c>
      <c r="D48" s="162" t="s">
        <v>88</v>
      </c>
      <c r="E48" s="66" t="s">
        <v>128</v>
      </c>
      <c r="F48" s="18" t="str">
        <f>_xlfn.XLOOKUP(Tabla1[[#This Row],[Estado]],Control!$C$33:$C$35,Control!$B$33:$B$35,"")</f>
        <v/>
      </c>
      <c r="G48" s="104"/>
      <c r="H48" s="148"/>
      <c r="I48" s="18" t="s">
        <v>5</v>
      </c>
      <c r="J48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48" s="18" t="s">
        <v>73</v>
      </c>
      <c r="L48" s="18">
        <v>5</v>
      </c>
      <c r="M48" s="139"/>
      <c r="N48" s="22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48" s="228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29</v>
      </c>
      <c r="P48" s="228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8" s="22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8" s="228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8" s="229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8" s="227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9</v>
      </c>
      <c r="U48" s="228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10</v>
      </c>
      <c r="V48" s="228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11</v>
      </c>
      <c r="W48" s="228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21</v>
      </c>
      <c r="X48" s="228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8" s="228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8" s="228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8" s="228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8" s="229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8" s="96" t="b">
        <f>ISNUMBER(SEARCH($H$4,Tabla1[[#This Row],[Materia]],1))</f>
        <v>1</v>
      </c>
      <c r="AD48" s="96" t="b">
        <f>IFERROR(IF(
    (COUNTIF(Tabla1[[#This Row],[R1]:[A9]], _xlfn.XLOOKUP($H$4,Tabla1[Materia],Tabla1[Numero],""))) &gt; 0,
    TRUE,
    FALSE
),FALSE)</f>
        <v>0</v>
      </c>
      <c r="AE48" s="97">
        <v>37</v>
      </c>
      <c r="AF48" s="19"/>
      <c r="AG48" s="19"/>
      <c r="AH48" s="19"/>
      <c r="AI48" s="19"/>
      <c r="AJ48" s="19"/>
      <c r="AK48" s="19"/>
      <c r="AL48" s="19"/>
      <c r="AM48" s="19"/>
      <c r="AN48" s="23"/>
    </row>
    <row r="49" spans="1:40" ht="17.25" customHeight="1" x14ac:dyDescent="0.25">
      <c r="A49" s="17"/>
      <c r="B49" s="18">
        <v>35</v>
      </c>
      <c r="C49" s="139">
        <v>35</v>
      </c>
      <c r="D49" s="162" t="s">
        <v>88</v>
      </c>
      <c r="E49" s="66" t="s">
        <v>130</v>
      </c>
      <c r="F49" s="18" t="str">
        <f>_xlfn.XLOOKUP(Tabla1[[#This Row],[Estado]],Control!$C$33:$C$35,Control!$B$33:$B$35,"")</f>
        <v/>
      </c>
      <c r="G49" s="104"/>
      <c r="H49" s="148"/>
      <c r="I49" s="18" t="s">
        <v>5</v>
      </c>
      <c r="J49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49" s="18" t="s">
        <v>73</v>
      </c>
      <c r="L49" s="18">
        <v>4</v>
      </c>
      <c r="M49" s="139"/>
      <c r="N49" s="8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28</v>
      </c>
      <c r="O49" s="9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9" s="9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9" s="9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9" s="9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49" s="9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49" s="8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U49" s="9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17</v>
      </c>
      <c r="V49" s="9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49" s="9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49" s="9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49" s="9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49" s="9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49" s="9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49" s="9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49" s="96" t="b">
        <f>ISNUMBER(SEARCH($H$4,Tabla1[[#This Row],[Materia]],1))</f>
        <v>1</v>
      </c>
      <c r="AD49" s="96" t="b">
        <f>IFERROR(IF(
    (COUNTIF(Tabla1[[#This Row],[R1]:[A9]], _xlfn.XLOOKUP($H$4,Tabla1[Materia],Tabla1[Numero],""))) &gt; 0,
    TRUE,
    FALSE
),FALSE)</f>
        <v>0</v>
      </c>
      <c r="AE49" s="97">
        <v>38</v>
      </c>
      <c r="AF49" s="19"/>
      <c r="AG49" s="19"/>
      <c r="AH49" s="19"/>
      <c r="AI49" s="19"/>
      <c r="AJ49" s="19"/>
      <c r="AK49" s="19"/>
      <c r="AL49" s="19"/>
      <c r="AM49" s="19"/>
      <c r="AN49" s="23"/>
    </row>
    <row r="50" spans="1:40" ht="17.25" customHeight="1" x14ac:dyDescent="0.25">
      <c r="A50" s="17"/>
      <c r="B50" s="18">
        <v>36</v>
      </c>
      <c r="C50" s="139">
        <v>36</v>
      </c>
      <c r="D50" s="162" t="s">
        <v>88</v>
      </c>
      <c r="E50" s="66" t="s">
        <v>131</v>
      </c>
      <c r="F50" s="18" t="str">
        <f>_xlfn.XLOOKUP(Tabla1[[#This Row],[Estado]],Control!$C$33:$C$35,Control!$B$33:$B$35,"")</f>
        <v/>
      </c>
      <c r="G50" s="104"/>
      <c r="H50" s="148"/>
      <c r="I50" s="18" t="s">
        <v>5</v>
      </c>
      <c r="J50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50" s="18" t="s">
        <v>73</v>
      </c>
      <c r="L50" s="18">
        <v>5</v>
      </c>
      <c r="M50" s="139"/>
      <c r="N50" s="8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20</v>
      </c>
      <c r="O50" s="9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28</v>
      </c>
      <c r="P50" s="9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30</v>
      </c>
      <c r="Q50" s="91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31</v>
      </c>
      <c r="R50" s="91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32</v>
      </c>
      <c r="S50" s="9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0" s="8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10</v>
      </c>
      <c r="U50" s="9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V50" s="91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17</v>
      </c>
      <c r="W50" s="9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0" s="9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0" s="9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0" s="9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0" s="9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0" s="9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50" s="96" t="b">
        <f>ISNUMBER(SEARCH($H$4,Tabla1[[#This Row],[Materia]],1))</f>
        <v>1</v>
      </c>
      <c r="AD50" s="96" t="b">
        <f>IFERROR(IF(
    (COUNTIF(Tabla1[[#This Row],[R1]:[A9]], _xlfn.XLOOKUP($H$4,Tabla1[Materia],Tabla1[Numero],""))) &gt; 0,
    TRUE,
    FALSE
),FALSE)</f>
        <v>0</v>
      </c>
      <c r="AE50" s="97">
        <v>39</v>
      </c>
      <c r="AF50" s="19"/>
      <c r="AG50" s="19"/>
      <c r="AH50" s="19"/>
      <c r="AI50" s="19"/>
      <c r="AJ50" s="19"/>
      <c r="AK50" s="19"/>
      <c r="AL50" s="19"/>
      <c r="AM50" s="19"/>
      <c r="AN50" s="23"/>
    </row>
    <row r="51" spans="1:40" ht="17.25" customHeight="1" x14ac:dyDescent="0.25">
      <c r="A51" s="17"/>
      <c r="B51" s="18">
        <v>37</v>
      </c>
      <c r="C51" s="139">
        <v>37</v>
      </c>
      <c r="D51" s="162" t="s">
        <v>88</v>
      </c>
      <c r="E51" s="66" t="s">
        <v>132</v>
      </c>
      <c r="F51" s="18" t="str">
        <f>_xlfn.XLOOKUP(Tabla1[[#This Row],[Estado]],Control!$C$33:$C$35,Control!$B$33:$B$35,"")</f>
        <v/>
      </c>
      <c r="G51" s="104"/>
      <c r="H51" s="148"/>
      <c r="I51" s="18" t="s">
        <v>5</v>
      </c>
      <c r="J51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51" s="18" t="s">
        <v>73</v>
      </c>
      <c r="L51" s="18">
        <v>3</v>
      </c>
      <c r="M51" s="139"/>
      <c r="N51" s="8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26</v>
      </c>
      <c r="O51" s="9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1" s="9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1" s="9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1" s="9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1" s="9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1" s="8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15</v>
      </c>
      <c r="U51" s="9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1" s="9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1" s="9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1" s="9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1" s="9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1" s="9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1" s="9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1" s="9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51" s="96" t="b">
        <f>ISNUMBER(SEARCH($H$4,Tabla1[[#This Row],[Materia]],1))</f>
        <v>1</v>
      </c>
      <c r="AD51" s="96" t="b">
        <f>IFERROR(IF(
    (COUNTIF(Tabla1[[#This Row],[R1]:[A9]], _xlfn.XLOOKUP($H$4,Tabla1[Materia],Tabla1[Numero],""))) &gt; 0,
    TRUE,
    FALSE
),FALSE)</f>
        <v>0</v>
      </c>
      <c r="AE51" s="97">
        <v>40</v>
      </c>
      <c r="AF51" s="19"/>
      <c r="AG51" s="19"/>
      <c r="AH51" s="19"/>
      <c r="AI51" s="19"/>
      <c r="AJ51" s="19"/>
      <c r="AK51" s="19"/>
      <c r="AL51" s="19"/>
      <c r="AM51" s="19"/>
      <c r="AN51" s="23"/>
    </row>
    <row r="52" spans="1:40" ht="17.25" customHeight="1" x14ac:dyDescent="0.25">
      <c r="A52" s="17"/>
      <c r="B52" s="18">
        <v>38</v>
      </c>
      <c r="C52" s="139">
        <v>38</v>
      </c>
      <c r="D52" s="162" t="s">
        <v>88</v>
      </c>
      <c r="E52" s="66" t="s">
        <v>25</v>
      </c>
      <c r="F52" s="18" t="str">
        <f>_xlfn.XLOOKUP(Tabla1[[#This Row],[Estado]],Control!$C$33:$C$35,Control!$B$33:$B$35,"")</f>
        <v/>
      </c>
      <c r="G52" s="104"/>
      <c r="H52" s="148"/>
      <c r="I52" s="18" t="s">
        <v>5</v>
      </c>
      <c r="J52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52" s="18" t="s">
        <v>73</v>
      </c>
      <c r="L52" s="18">
        <v>2</v>
      </c>
      <c r="M52" s="139"/>
      <c r="N52" s="8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15</v>
      </c>
      <c r="O52" s="9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2" s="9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2" s="9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2" s="9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2" s="9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2" s="8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5</v>
      </c>
      <c r="U52" s="9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2" s="9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2" s="9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2" s="9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2" s="9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2" s="9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2" s="9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2" s="9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52" s="96" t="b">
        <f>ISNUMBER(SEARCH($H$4,Tabla1[[#This Row],[Materia]],1))</f>
        <v>1</v>
      </c>
      <c r="AD52" s="96" t="b">
        <f>IFERROR(IF(
    (COUNTIF(Tabla1[[#This Row],[R1]:[A9]], _xlfn.XLOOKUP($H$4,Tabla1[Materia],Tabla1[Numero],""))) &gt; 0,
    TRUE,
    FALSE
),FALSE)</f>
        <v>0</v>
      </c>
      <c r="AE52" s="97">
        <v>41</v>
      </c>
      <c r="AF52" s="19"/>
      <c r="AG52" s="19"/>
      <c r="AH52" s="19"/>
      <c r="AI52" s="19"/>
      <c r="AJ52" s="19"/>
      <c r="AK52" s="19"/>
      <c r="AL52" s="19"/>
      <c r="AM52" s="19"/>
      <c r="AN52" s="23"/>
    </row>
    <row r="53" spans="1:40" ht="17.25" customHeight="1" x14ac:dyDescent="0.25">
      <c r="A53" s="17"/>
      <c r="B53" s="18">
        <v>39</v>
      </c>
      <c r="C53" s="139">
        <v>39</v>
      </c>
      <c r="D53" s="162" t="s">
        <v>88</v>
      </c>
      <c r="E53" s="66" t="s">
        <v>129</v>
      </c>
      <c r="F53" s="18" t="str">
        <f>_xlfn.XLOOKUP(Tabla1[[#This Row],[Estado]],Control!$C$33:$C$35,Control!$B$33:$B$35,"")</f>
        <v/>
      </c>
      <c r="G53" s="104"/>
      <c r="H53" s="148"/>
      <c r="I53" s="18" t="s">
        <v>5</v>
      </c>
      <c r="J53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53" s="18" t="s">
        <v>73</v>
      </c>
      <c r="L53" s="18">
        <v>2</v>
      </c>
      <c r="M53" s="139"/>
      <c r="N53" s="8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20</v>
      </c>
      <c r="O53" s="9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26</v>
      </c>
      <c r="P53" s="9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27</v>
      </c>
      <c r="Q53" s="91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3" s="9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3" s="9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3" s="8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11</v>
      </c>
      <c r="U53" s="9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13</v>
      </c>
      <c r="V53" s="91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18</v>
      </c>
      <c r="W53" s="91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19</v>
      </c>
      <c r="X53" s="9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3" s="9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3" s="9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3" s="9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3" s="9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53" s="96" t="b">
        <f>ISNUMBER(SEARCH($H$4,Tabla1[[#This Row],[Materia]],1))</f>
        <v>1</v>
      </c>
      <c r="AD53" s="96" t="b">
        <f>IFERROR(IF(
    (COUNTIF(Tabla1[[#This Row],[R1]:[A9]], _xlfn.XLOOKUP($H$4,Tabla1[Materia],Tabla1[Numero],""))) &gt; 0,
    TRUE,
    FALSE
),FALSE)</f>
        <v>0</v>
      </c>
      <c r="AE53" s="97">
        <v>42</v>
      </c>
      <c r="AF53" s="19"/>
      <c r="AG53" s="19"/>
      <c r="AH53" s="19"/>
      <c r="AI53" s="19"/>
      <c r="AJ53" s="19"/>
      <c r="AK53" s="19"/>
      <c r="AL53" s="19"/>
      <c r="AM53" s="19"/>
      <c r="AN53" s="23"/>
    </row>
    <row r="54" spans="1:40" ht="17.25" customHeight="1" x14ac:dyDescent="0.25">
      <c r="A54" s="17"/>
      <c r="B54" s="18">
        <v>40</v>
      </c>
      <c r="C54" s="139">
        <v>40</v>
      </c>
      <c r="D54" s="162" t="s">
        <v>88</v>
      </c>
      <c r="E54" s="66" t="s">
        <v>134</v>
      </c>
      <c r="F54" s="18" t="str">
        <f>_xlfn.XLOOKUP(Tabla1[[#This Row],[Estado]],Control!$C$33:$C$35,Control!$B$33:$B$35,"")</f>
        <v/>
      </c>
      <c r="G54" s="104"/>
      <c r="H54" s="148"/>
      <c r="I54" s="18" t="s">
        <v>5</v>
      </c>
      <c r="J54" s="18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54" s="18" t="s">
        <v>73</v>
      </c>
      <c r="L54" s="18">
        <v>5</v>
      </c>
      <c r="M54" s="139"/>
      <c r="N54" s="8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54" s="9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29</v>
      </c>
      <c r="P54" s="9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31</v>
      </c>
      <c r="Q54" s="91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32</v>
      </c>
      <c r="R54" s="91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4" s="94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4" s="8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18</v>
      </c>
      <c r="U54" s="9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19</v>
      </c>
      <c r="V54" s="91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20</v>
      </c>
      <c r="W54" s="91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21</v>
      </c>
      <c r="X54" s="91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4" s="91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4" s="91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4" s="91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4" s="94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54" s="96" t="b">
        <f>ISNUMBER(SEARCH($H$4,Tabla1[[#This Row],[Materia]],1))</f>
        <v>1</v>
      </c>
      <c r="AD54" s="96" t="b">
        <f>IFERROR(IF(
    (COUNTIF(Tabla1[[#This Row],[R1]:[A9]], _xlfn.XLOOKUP($H$4,Tabla1[Materia],Tabla1[Numero],""))) &gt; 0,
    TRUE,
    FALSE
),FALSE)</f>
        <v>0</v>
      </c>
      <c r="AE54" s="97">
        <v>43</v>
      </c>
      <c r="AF54" s="19"/>
      <c r="AG54" s="19"/>
      <c r="AH54" s="19"/>
      <c r="AI54" s="19"/>
      <c r="AJ54" s="19"/>
      <c r="AK54" s="19"/>
      <c r="AL54" s="19"/>
      <c r="AM54" s="19"/>
      <c r="AN54" s="23"/>
    </row>
    <row r="55" spans="1:40" ht="17.25" customHeight="1" x14ac:dyDescent="0.25">
      <c r="A55" s="17"/>
      <c r="B55" s="230">
        <v>41</v>
      </c>
      <c r="C55" s="231">
        <v>41</v>
      </c>
      <c r="D55" s="232" t="s">
        <v>88</v>
      </c>
      <c r="E55" s="233" t="s">
        <v>133</v>
      </c>
      <c r="F55" s="230" t="str">
        <f>_xlfn.XLOOKUP(Tabla1[[#This Row],[Estado]],Control!$C$33:$C$35,Control!$B$33:$B$35,"")</f>
        <v/>
      </c>
      <c r="G55" s="234"/>
      <c r="H55" s="235"/>
      <c r="I55" s="230"/>
      <c r="J55" s="230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55" s="230" t="s">
        <v>73</v>
      </c>
      <c r="L55" s="230"/>
      <c r="M55" s="231"/>
      <c r="N55" s="23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55" s="237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29</v>
      </c>
      <c r="P55" s="237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31</v>
      </c>
      <c r="Q55" s="237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32</v>
      </c>
      <c r="R55" s="237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5" s="238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5" s="23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18</v>
      </c>
      <c r="U55" s="23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19</v>
      </c>
      <c r="V55" s="237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20</v>
      </c>
      <c r="W55" s="237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21</v>
      </c>
      <c r="X55" s="237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5" s="237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5" s="237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5" s="237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5" s="238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55" s="224" t="b">
        <f>ISNUMBER(SEARCH($H$4,Tabla1[[#This Row],[Materia]],1))</f>
        <v>1</v>
      </c>
      <c r="AD55" s="224" t="b">
        <f>IFERROR(IF(
    (COUNTIF(Tabla1[[#This Row],[R1]:[A9]], _xlfn.XLOOKUP($H$4,Tabla1[Materia],Tabla1[Numero],""))) &gt; 0,
    TRUE,
    FALSE
),FALSE)</f>
        <v>0</v>
      </c>
      <c r="AE55" s="225">
        <v>44</v>
      </c>
      <c r="AF55" s="19"/>
      <c r="AG55" s="19"/>
      <c r="AH55" s="19"/>
      <c r="AI55" s="19"/>
      <c r="AJ55" s="19"/>
      <c r="AK55" s="19"/>
      <c r="AL55" s="19"/>
      <c r="AM55" s="19"/>
      <c r="AN55" s="23"/>
    </row>
    <row r="56" spans="1:40" ht="17.25" customHeight="1" x14ac:dyDescent="0.25">
      <c r="A56" s="17"/>
      <c r="B56" s="42" t="s">
        <v>34</v>
      </c>
      <c r="C56" s="140" t="s">
        <v>34</v>
      </c>
      <c r="D56" s="163" t="s">
        <v>88</v>
      </c>
      <c r="E56" s="67" t="s">
        <v>138</v>
      </c>
      <c r="F56" s="42" t="str">
        <f>_xlfn.XLOOKUP(Tabla1[[#This Row],[Estado]],Control!$C$33:$C$35,Control!$B$33:$B$35,"")</f>
        <v/>
      </c>
      <c r="G56" s="105"/>
      <c r="H56" s="149"/>
      <c r="I56" s="42" t="s">
        <v>15</v>
      </c>
      <c r="J56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56" s="42" t="s">
        <v>74</v>
      </c>
      <c r="L56" s="42">
        <v>5</v>
      </c>
      <c r="M56" s="140">
        <v>2</v>
      </c>
      <c r="N56" s="8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O56" s="90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19</v>
      </c>
      <c r="P56" s="90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21</v>
      </c>
      <c r="Q56" s="90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22</v>
      </c>
      <c r="R56" s="90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27</v>
      </c>
      <c r="S56" s="219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30</v>
      </c>
      <c r="T56" s="88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U56" s="9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V56" s="9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6" s="9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6" s="9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6" s="90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6" s="9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6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6" s="219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56" s="96" t="b">
        <f>ISNUMBER(SEARCH($H$4,Tabla1[[#This Row],[Materia]],1))</f>
        <v>1</v>
      </c>
      <c r="AD56" s="96" t="b">
        <f>IFERROR(IF(
    (COUNTIF(Tabla1[[#This Row],[R1]:[A9]], _xlfn.XLOOKUP($H$4,Tabla1[Materia],Tabla1[Numero],""))) &gt; 0,
    TRUE,
    FALSE
),FALSE)</f>
        <v>0</v>
      </c>
      <c r="AE56" s="97">
        <v>45</v>
      </c>
      <c r="AF56" s="19"/>
      <c r="AG56" s="19"/>
      <c r="AH56" s="19"/>
      <c r="AI56" s="19"/>
      <c r="AJ56" s="19"/>
      <c r="AK56" s="19"/>
      <c r="AL56" s="19"/>
      <c r="AM56" s="19"/>
      <c r="AN56" s="23"/>
    </row>
    <row r="57" spans="1:40" ht="17.25" customHeight="1" x14ac:dyDescent="0.25">
      <c r="A57" s="17"/>
      <c r="B57" s="42" t="s">
        <v>35</v>
      </c>
      <c r="C57" s="140" t="s">
        <v>35</v>
      </c>
      <c r="D57" s="163" t="s">
        <v>88</v>
      </c>
      <c r="E57" s="67" t="s">
        <v>155</v>
      </c>
      <c r="F57" s="42" t="str">
        <f>_xlfn.XLOOKUP(Tabla1[[#This Row],[Estado]],Control!$C$33:$C$35,Control!$B$33:$B$35,"")</f>
        <v/>
      </c>
      <c r="G57" s="105"/>
      <c r="H57" s="149"/>
      <c r="I57" s="42" t="s">
        <v>15</v>
      </c>
      <c r="J57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57" s="42" t="s">
        <v>74</v>
      </c>
      <c r="L57" s="42">
        <v>2</v>
      </c>
      <c r="M57" s="140">
        <v>3</v>
      </c>
      <c r="N57" s="8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57" s="90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28</v>
      </c>
      <c r="P57" s="9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7" s="9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7" s="9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7" s="219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7" s="88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</v>
      </c>
      <c r="U57" s="9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9</v>
      </c>
      <c r="V57" s="9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10</v>
      </c>
      <c r="W57" s="9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7" s="9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7" s="90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7" s="9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7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7" s="219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57" s="96" t="b">
        <f>ISNUMBER(SEARCH($H$4,Tabla1[[#This Row],[Materia]],1))</f>
        <v>1</v>
      </c>
      <c r="AD57" s="96" t="b">
        <f>IFERROR(IF(
    (COUNTIF(Tabla1[[#This Row],[R1]:[A9]], _xlfn.XLOOKUP($H$4,Tabla1[Materia],Tabla1[Numero],""))) &gt; 0,
    TRUE,
    FALSE
),FALSE)</f>
        <v>0</v>
      </c>
      <c r="AE57" s="97">
        <v>46</v>
      </c>
      <c r="AF57" s="19"/>
      <c r="AG57" s="19"/>
      <c r="AH57" s="19"/>
      <c r="AI57" s="19"/>
      <c r="AJ57" s="19"/>
      <c r="AK57" s="19"/>
      <c r="AL57" s="19"/>
      <c r="AM57" s="19"/>
      <c r="AN57" s="23"/>
    </row>
    <row r="58" spans="1:40" ht="17.25" customHeight="1" x14ac:dyDescent="0.25">
      <c r="A58" s="17"/>
      <c r="B58" s="42" t="s">
        <v>36</v>
      </c>
      <c r="C58" s="140" t="s">
        <v>36</v>
      </c>
      <c r="D58" s="163" t="s">
        <v>88</v>
      </c>
      <c r="E58" s="67" t="s">
        <v>135</v>
      </c>
      <c r="F58" s="42" t="str">
        <f>_xlfn.XLOOKUP(Tabla1[[#This Row],[Estado]],Control!$C$33:$C$35,Control!$B$33:$B$35,"")</f>
        <v/>
      </c>
      <c r="G58" s="105"/>
      <c r="H58" s="149"/>
      <c r="I58" s="42" t="s">
        <v>15</v>
      </c>
      <c r="J58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58" s="42" t="s">
        <v>74</v>
      </c>
      <c r="L58" s="42">
        <v>1.2</v>
      </c>
      <c r="M58" s="140">
        <v>3</v>
      </c>
      <c r="N58" s="11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58" s="11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28</v>
      </c>
      <c r="P58" s="11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8" s="9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8" s="9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8" s="21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8" s="11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11</v>
      </c>
      <c r="U58" s="9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18</v>
      </c>
      <c r="V58" s="9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19</v>
      </c>
      <c r="W58" s="9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20</v>
      </c>
      <c r="X58" s="90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21</v>
      </c>
      <c r="Y58" s="90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22</v>
      </c>
      <c r="Z58" s="90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23</v>
      </c>
      <c r="AA58" s="90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24</v>
      </c>
      <c r="AB58" s="219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25</v>
      </c>
      <c r="AC58" s="96" t="b">
        <f>ISNUMBER(SEARCH($H$4,Tabla1[[#This Row],[Materia]],1))</f>
        <v>1</v>
      </c>
      <c r="AD58" s="96" t="b">
        <f>IFERROR(IF(
    (COUNTIF(Tabla1[[#This Row],[R1]:[A9]], _xlfn.XLOOKUP($H$4,Tabla1[Materia],Tabla1[Numero],""))) &gt; 0,
    TRUE,
    FALSE
),FALSE)</f>
        <v>0</v>
      </c>
      <c r="AE58" s="97">
        <v>47</v>
      </c>
      <c r="AF58" s="19"/>
      <c r="AG58" s="19"/>
      <c r="AH58" s="19"/>
      <c r="AI58" s="19"/>
      <c r="AJ58" s="26"/>
      <c r="AK58" s="26"/>
      <c r="AL58" s="19"/>
      <c r="AM58" s="19"/>
      <c r="AN58" s="23"/>
    </row>
    <row r="59" spans="1:40" ht="17.25" customHeight="1" x14ac:dyDescent="0.25">
      <c r="A59" s="17"/>
      <c r="B59" s="42" t="s">
        <v>37</v>
      </c>
      <c r="C59" s="140" t="s">
        <v>37</v>
      </c>
      <c r="D59" s="163" t="s">
        <v>88</v>
      </c>
      <c r="E59" s="67" t="s">
        <v>139</v>
      </c>
      <c r="F59" s="42" t="str">
        <f>_xlfn.XLOOKUP(Tabla1[[#This Row],[Estado]],Control!$C$33:$C$35,Control!$B$33:$B$35,"")</f>
        <v/>
      </c>
      <c r="G59" s="105"/>
      <c r="H59" s="149"/>
      <c r="I59" s="42" t="s">
        <v>15</v>
      </c>
      <c r="J59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59" s="42" t="s">
        <v>74</v>
      </c>
      <c r="L59" s="42">
        <v>2</v>
      </c>
      <c r="M59" s="140">
        <v>2</v>
      </c>
      <c r="N59" s="11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59" s="11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28</v>
      </c>
      <c r="P59" s="112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33</v>
      </c>
      <c r="Q59" s="9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9" s="9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59" s="21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59" s="11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19</v>
      </c>
      <c r="U59" s="9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22</v>
      </c>
      <c r="V59" s="9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59" s="9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59" s="9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59" s="90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59" s="9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59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59" s="219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59" s="96" t="b">
        <f>ISNUMBER(SEARCH($H$4,Tabla1[[#This Row],[Materia]],1))</f>
        <v>1</v>
      </c>
      <c r="AD59" s="96" t="b">
        <f>IFERROR(IF(
    (COUNTIF(Tabla1[[#This Row],[R1]:[A9]], _xlfn.XLOOKUP($H$4,Tabla1[Materia],Tabla1[Numero],""))) &gt; 0,
    TRUE,
    FALSE
),FALSE)</f>
        <v>0</v>
      </c>
      <c r="AE59" s="97">
        <v>48</v>
      </c>
      <c r="AF59" s="19"/>
      <c r="AG59" s="19"/>
      <c r="AH59" s="19"/>
      <c r="AI59" s="19"/>
      <c r="AJ59" s="19"/>
      <c r="AK59" s="19"/>
      <c r="AL59" s="19"/>
      <c r="AM59" s="19"/>
      <c r="AN59" s="23"/>
    </row>
    <row r="60" spans="1:40" ht="17.25" customHeight="1" x14ac:dyDescent="0.25">
      <c r="A60" s="17"/>
      <c r="B60" s="42" t="s">
        <v>38</v>
      </c>
      <c r="C60" s="140" t="s">
        <v>38</v>
      </c>
      <c r="D60" s="163" t="s">
        <v>88</v>
      </c>
      <c r="E60" s="67" t="s">
        <v>140</v>
      </c>
      <c r="F60" s="42" t="str">
        <f>_xlfn.XLOOKUP(Tabla1[[#This Row],[Estado]],Control!$C$33:$C$35,Control!$B$33:$B$35,"")</f>
        <v/>
      </c>
      <c r="G60" s="105"/>
      <c r="H60" s="149"/>
      <c r="I60" s="42" t="s">
        <v>15</v>
      </c>
      <c r="J60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60" s="42" t="s">
        <v>74</v>
      </c>
      <c r="L60" s="42">
        <v>2</v>
      </c>
      <c r="M60" s="140">
        <v>2.5</v>
      </c>
      <c r="N60" s="11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60" s="11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28</v>
      </c>
      <c r="P60" s="11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0" s="9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0" s="9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0" s="21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60" s="11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17</v>
      </c>
      <c r="U60" s="9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18</v>
      </c>
      <c r="V60" s="9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19</v>
      </c>
      <c r="W60" s="9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20</v>
      </c>
      <c r="X60" s="90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21</v>
      </c>
      <c r="Y60" s="90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22</v>
      </c>
      <c r="Z60" s="90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23</v>
      </c>
      <c r="AA60" s="90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24</v>
      </c>
      <c r="AB60" s="219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25</v>
      </c>
      <c r="AC60" s="96" t="b">
        <f>ISNUMBER(SEARCH($H$4,Tabla1[[#This Row],[Materia]],1))</f>
        <v>1</v>
      </c>
      <c r="AD60" s="96" t="b">
        <f>IFERROR(IF(
    (COUNTIF(Tabla1[[#This Row],[R1]:[A9]], _xlfn.XLOOKUP($H$4,Tabla1[Materia],Tabla1[Numero],""))) &gt; 0,
    TRUE,
    FALSE
),FALSE)</f>
        <v>0</v>
      </c>
      <c r="AE60" s="97">
        <v>49</v>
      </c>
      <c r="AF60" s="19"/>
      <c r="AG60" s="19"/>
      <c r="AH60" s="19"/>
      <c r="AI60" s="19"/>
      <c r="AJ60" s="19"/>
      <c r="AK60" s="19"/>
      <c r="AL60" s="19"/>
      <c r="AM60" s="19"/>
      <c r="AN60" s="23"/>
    </row>
    <row r="61" spans="1:40" ht="17.25" customHeight="1" x14ac:dyDescent="0.25">
      <c r="A61" s="17"/>
      <c r="B61" s="42" t="s">
        <v>39</v>
      </c>
      <c r="C61" s="140" t="s">
        <v>39</v>
      </c>
      <c r="D61" s="163" t="s">
        <v>88</v>
      </c>
      <c r="E61" s="67" t="s">
        <v>141</v>
      </c>
      <c r="F61" s="42" t="str">
        <f>_xlfn.XLOOKUP(Tabla1[[#This Row],[Estado]],Control!$C$33:$C$35,Control!$B$33:$B$35,"")</f>
        <v/>
      </c>
      <c r="G61" s="105"/>
      <c r="H61" s="149"/>
      <c r="I61" s="42" t="s">
        <v>15</v>
      </c>
      <c r="J61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61" s="42" t="s">
        <v>74</v>
      </c>
      <c r="L61" s="42">
        <v>2</v>
      </c>
      <c r="M61" s="140">
        <v>2</v>
      </c>
      <c r="N61" s="11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61" s="11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28</v>
      </c>
      <c r="P61" s="11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1" s="9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1" s="9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1" s="21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61" s="11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17</v>
      </c>
      <c r="U61" s="9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18</v>
      </c>
      <c r="V61" s="9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19</v>
      </c>
      <c r="W61" s="9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20</v>
      </c>
      <c r="X61" s="90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21</v>
      </c>
      <c r="Y61" s="90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22</v>
      </c>
      <c r="Z61" s="90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23</v>
      </c>
      <c r="AA61" s="90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24</v>
      </c>
      <c r="AB61" s="219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25</v>
      </c>
      <c r="AC61" s="96" t="b">
        <f>ISNUMBER(SEARCH($H$4,Tabla1[[#This Row],[Materia]],1))</f>
        <v>1</v>
      </c>
      <c r="AD61" s="96" t="b">
        <f>IFERROR(IF(
    (COUNTIF(Tabla1[[#This Row],[R1]:[A9]], _xlfn.XLOOKUP($H$4,Tabla1[Materia],Tabla1[Numero],""))) &gt; 0,
    TRUE,
    FALSE
),FALSE)</f>
        <v>0</v>
      </c>
      <c r="AE61" s="97">
        <v>50</v>
      </c>
      <c r="AF61" s="19"/>
      <c r="AG61" s="19"/>
      <c r="AH61" s="19"/>
      <c r="AI61" s="19"/>
      <c r="AJ61" s="19"/>
      <c r="AK61" s="19"/>
      <c r="AL61" s="19"/>
      <c r="AM61" s="19"/>
      <c r="AN61" s="23"/>
    </row>
    <row r="62" spans="1:40" ht="17.25" customHeight="1" x14ac:dyDescent="0.25">
      <c r="A62" s="17"/>
      <c r="B62" s="42" t="s">
        <v>40</v>
      </c>
      <c r="C62" s="140" t="s">
        <v>40</v>
      </c>
      <c r="D62" s="163" t="s">
        <v>88</v>
      </c>
      <c r="E62" s="67" t="s">
        <v>142</v>
      </c>
      <c r="F62" s="42" t="str">
        <f>_xlfn.XLOOKUP(Tabla1[[#This Row],[Estado]],Control!$C$33:$C$35,Control!$B$33:$B$35,"")</f>
        <v/>
      </c>
      <c r="G62" s="105"/>
      <c r="H62" s="149"/>
      <c r="I62" s="42" t="s">
        <v>15</v>
      </c>
      <c r="J62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62" s="42" t="s">
        <v>74</v>
      </c>
      <c r="L62" s="42">
        <v>2</v>
      </c>
      <c r="M62" s="140">
        <v>2</v>
      </c>
      <c r="N62" s="11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62" s="11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28</v>
      </c>
      <c r="P62" s="11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2" s="9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2" s="9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2" s="21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62" s="11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17</v>
      </c>
      <c r="U62" s="9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18</v>
      </c>
      <c r="V62" s="9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19</v>
      </c>
      <c r="W62" s="9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20</v>
      </c>
      <c r="X62" s="90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21</v>
      </c>
      <c r="Y62" s="90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22</v>
      </c>
      <c r="Z62" s="90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23</v>
      </c>
      <c r="AA62" s="90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24</v>
      </c>
      <c r="AB62" s="219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25</v>
      </c>
      <c r="AC62" s="96" t="b">
        <f>ISNUMBER(SEARCH($H$4,Tabla1[[#This Row],[Materia]],1))</f>
        <v>1</v>
      </c>
      <c r="AD62" s="96" t="b">
        <f>IFERROR(IF(
    (COUNTIF(Tabla1[[#This Row],[R1]:[A9]], _xlfn.XLOOKUP($H$4,Tabla1[Materia],Tabla1[Numero],""))) &gt; 0,
    TRUE,
    FALSE
),FALSE)</f>
        <v>0</v>
      </c>
      <c r="AE62" s="97">
        <v>51</v>
      </c>
      <c r="AF62" s="19"/>
      <c r="AG62" s="19"/>
      <c r="AH62" s="19"/>
      <c r="AI62" s="19"/>
      <c r="AJ62" s="19"/>
      <c r="AK62" s="19"/>
      <c r="AL62" s="19"/>
      <c r="AM62" s="19"/>
      <c r="AN62" s="23"/>
    </row>
    <row r="63" spans="1:40" ht="17.25" customHeight="1" x14ac:dyDescent="0.25">
      <c r="A63" s="17"/>
      <c r="B63" s="42" t="s">
        <v>41</v>
      </c>
      <c r="C63" s="140" t="s">
        <v>41</v>
      </c>
      <c r="D63" s="163" t="s">
        <v>88</v>
      </c>
      <c r="E63" s="67" t="s">
        <v>143</v>
      </c>
      <c r="F63" s="42" t="str">
        <f>_xlfn.XLOOKUP(Tabla1[[#This Row],[Estado]],Control!$C$33:$C$35,Control!$B$33:$B$35,"")</f>
        <v/>
      </c>
      <c r="G63" s="105"/>
      <c r="H63" s="149"/>
      <c r="I63" s="42" t="s">
        <v>15</v>
      </c>
      <c r="J63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63" s="42" t="s">
        <v>74</v>
      </c>
      <c r="L63" s="42">
        <v>2</v>
      </c>
      <c r="M63" s="140">
        <v>2</v>
      </c>
      <c r="N63" s="11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63" s="112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28</v>
      </c>
      <c r="P63" s="11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3" s="9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3" s="9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3" s="217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63" s="114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17</v>
      </c>
      <c r="U63" s="9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18</v>
      </c>
      <c r="V63" s="9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19</v>
      </c>
      <c r="W63" s="9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20</v>
      </c>
      <c r="X63" s="90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21</v>
      </c>
      <c r="Y63" s="90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22</v>
      </c>
      <c r="Z63" s="90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23</v>
      </c>
      <c r="AA63" s="90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24</v>
      </c>
      <c r="AB63" s="219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25</v>
      </c>
      <c r="AC63" s="96" t="b">
        <f>ISNUMBER(SEARCH($H$4,Tabla1[[#This Row],[Materia]],1))</f>
        <v>1</v>
      </c>
      <c r="AD63" s="96" t="b">
        <f>IFERROR(IF(
    (COUNTIF(Tabla1[[#This Row],[R1]:[A9]], _xlfn.XLOOKUP($H$4,Tabla1[Materia],Tabla1[Numero],""))) &gt; 0,
    TRUE,
    FALSE
),FALSE)</f>
        <v>0</v>
      </c>
      <c r="AE63" s="97">
        <v>52</v>
      </c>
      <c r="AF63" s="19"/>
      <c r="AG63" s="19"/>
      <c r="AH63" s="19"/>
      <c r="AI63" s="19"/>
      <c r="AJ63" s="19"/>
      <c r="AK63" s="19"/>
      <c r="AL63" s="19"/>
      <c r="AM63" s="19"/>
      <c r="AN63" s="23"/>
    </row>
    <row r="64" spans="1:40" ht="17.25" customHeight="1" x14ac:dyDescent="0.25">
      <c r="A64" s="17"/>
      <c r="B64" s="42" t="s">
        <v>42</v>
      </c>
      <c r="C64" s="140" t="s">
        <v>42</v>
      </c>
      <c r="D64" s="163" t="s">
        <v>88</v>
      </c>
      <c r="E64" s="67" t="s">
        <v>156</v>
      </c>
      <c r="F64" s="42" t="str">
        <f>_xlfn.XLOOKUP(Tabla1[[#This Row],[Estado]],Control!$C$33:$C$35,Control!$B$33:$B$35,"")</f>
        <v/>
      </c>
      <c r="G64" s="105"/>
      <c r="H64" s="149"/>
      <c r="I64" s="42" t="s">
        <v>16</v>
      </c>
      <c r="J64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64" s="42" t="s">
        <v>74</v>
      </c>
      <c r="L64" s="42">
        <v>2</v>
      </c>
      <c r="M64" s="140">
        <v>2</v>
      </c>
      <c r="N64" s="7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64" s="7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28</v>
      </c>
      <c r="P64" s="76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33</v>
      </c>
      <c r="Q64" s="9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4" s="9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4" s="218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64" s="7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19</v>
      </c>
      <c r="U64" s="9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22</v>
      </c>
      <c r="V64" s="9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W64" s="9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X64" s="90" t="str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--</v>
      </c>
      <c r="Y64" s="90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4" s="9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4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4" s="219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64" s="96" t="b">
        <f>ISNUMBER(SEARCH($H$4,Tabla1[[#This Row],[Materia]],1))</f>
        <v>1</v>
      </c>
      <c r="AD64" s="96" t="b">
        <f>IFERROR(IF(
    (COUNTIF(Tabla1[[#This Row],[R1]:[A9]], _xlfn.XLOOKUP($H$4,Tabla1[Materia],Tabla1[Numero],""))) &gt; 0,
    TRUE,
    FALSE
),FALSE)</f>
        <v>0</v>
      </c>
      <c r="AE64" s="97">
        <v>53</v>
      </c>
      <c r="AF64" s="19"/>
      <c r="AG64" s="19"/>
      <c r="AH64" s="19"/>
      <c r="AI64" s="19"/>
      <c r="AJ64" s="19"/>
      <c r="AK64" s="19"/>
      <c r="AL64" s="19"/>
      <c r="AM64" s="19"/>
      <c r="AN64" s="23"/>
    </row>
    <row r="65" spans="1:40" ht="17.25" customHeight="1" x14ac:dyDescent="0.25">
      <c r="A65" s="17"/>
      <c r="B65" s="42" t="s">
        <v>43</v>
      </c>
      <c r="C65" s="140" t="s">
        <v>43</v>
      </c>
      <c r="D65" s="163" t="s">
        <v>88</v>
      </c>
      <c r="E65" s="67" t="s">
        <v>157</v>
      </c>
      <c r="F65" s="42" t="str">
        <f>_xlfn.XLOOKUP(Tabla1[[#This Row],[Estado]],Control!$C$33:$C$35,Control!$B$33:$B$35,"")</f>
        <v/>
      </c>
      <c r="G65" s="105"/>
      <c r="H65" s="149"/>
      <c r="I65" s="42" t="s">
        <v>16</v>
      </c>
      <c r="J65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65" s="42" t="s">
        <v>74</v>
      </c>
      <c r="L65" s="42">
        <v>1.5</v>
      </c>
      <c r="M65" s="140">
        <v>2</v>
      </c>
      <c r="N65" s="7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65" s="7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29</v>
      </c>
      <c r="P65" s="7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5" s="9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5" s="9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5" s="218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65" s="7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U65" s="9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3</v>
      </c>
      <c r="V65" s="9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4</v>
      </c>
      <c r="W65" s="9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8</v>
      </c>
      <c r="X65" s="90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21</v>
      </c>
      <c r="Y65" s="90" t="str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--</v>
      </c>
      <c r="Z65" s="90" t="str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--</v>
      </c>
      <c r="AA65" s="90" t="str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--</v>
      </c>
      <c r="AB65" s="219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65" s="96" t="b">
        <f>ISNUMBER(SEARCH($H$4,Tabla1[[#This Row],[Materia]],1))</f>
        <v>1</v>
      </c>
      <c r="AD65" s="96" t="b">
        <f>IFERROR(IF(
    (COUNTIF(Tabla1[[#This Row],[R1]:[A9]], _xlfn.XLOOKUP($H$4,Tabla1[Materia],Tabla1[Numero],""))) &gt; 0,
    TRUE,
    FALSE
),FALSE)</f>
        <v>0</v>
      </c>
      <c r="AE65" s="97">
        <v>54</v>
      </c>
      <c r="AF65" s="19"/>
      <c r="AG65" s="19"/>
      <c r="AH65" s="19"/>
      <c r="AI65" s="19"/>
      <c r="AJ65" s="19"/>
      <c r="AK65" s="19"/>
      <c r="AL65" s="19"/>
      <c r="AM65" s="19"/>
      <c r="AN65" s="23"/>
    </row>
    <row r="66" spans="1:40" ht="17.25" customHeight="1" x14ac:dyDescent="0.25">
      <c r="A66" s="17"/>
      <c r="B66" s="42" t="s">
        <v>44</v>
      </c>
      <c r="C66" s="140" t="s">
        <v>44</v>
      </c>
      <c r="D66" s="163" t="s">
        <v>88</v>
      </c>
      <c r="E66" s="67" t="s">
        <v>144</v>
      </c>
      <c r="F66" s="42" t="str">
        <f>_xlfn.XLOOKUP(Tabla1[[#This Row],[Estado]],Control!$C$33:$C$35,Control!$B$33:$B$35,"")</f>
        <v/>
      </c>
      <c r="G66" s="105"/>
      <c r="H66" s="149"/>
      <c r="I66" s="42" t="s">
        <v>16</v>
      </c>
      <c r="J66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66" s="42" t="s">
        <v>74</v>
      </c>
      <c r="L66" s="42">
        <v>1.5</v>
      </c>
      <c r="M66" s="140">
        <v>2</v>
      </c>
      <c r="N66" s="7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66" s="7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28</v>
      </c>
      <c r="P66" s="7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6" s="9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6" s="9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6" s="218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66" s="7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17</v>
      </c>
      <c r="U66" s="9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18</v>
      </c>
      <c r="V66" s="9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19</v>
      </c>
      <c r="W66" s="9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21</v>
      </c>
      <c r="X66" s="90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22</v>
      </c>
      <c r="Y66" s="90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23</v>
      </c>
      <c r="Z66" s="90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24</v>
      </c>
      <c r="AA66" s="90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25</v>
      </c>
      <c r="AB66" s="219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66" s="96" t="b">
        <f>ISNUMBER(SEARCH($H$4,Tabla1[[#This Row],[Materia]],1))</f>
        <v>1</v>
      </c>
      <c r="AD66" s="96" t="b">
        <f>IFERROR(IF(
    (COUNTIF(Tabla1[[#This Row],[R1]:[A9]], _xlfn.XLOOKUP($H$4,Tabla1[Materia],Tabla1[Numero],""))) &gt; 0,
    TRUE,
    FALSE
),FALSE)</f>
        <v>0</v>
      </c>
      <c r="AE66" s="97">
        <v>55</v>
      </c>
      <c r="AF66" s="19"/>
      <c r="AG66" s="19"/>
      <c r="AH66" s="19"/>
      <c r="AI66" s="19"/>
      <c r="AJ66" s="19"/>
      <c r="AK66" s="19"/>
      <c r="AL66" s="19"/>
      <c r="AM66" s="19"/>
      <c r="AN66" s="23"/>
    </row>
    <row r="67" spans="1:40" ht="17.25" customHeight="1" thickBot="1" x14ac:dyDescent="0.3">
      <c r="A67" s="17"/>
      <c r="B67" s="42" t="s">
        <v>45</v>
      </c>
      <c r="C67" s="140" t="s">
        <v>45</v>
      </c>
      <c r="D67" s="163" t="s">
        <v>88</v>
      </c>
      <c r="E67" s="67" t="s">
        <v>158</v>
      </c>
      <c r="F67" s="42" t="str">
        <f>_xlfn.XLOOKUP(Tabla1[[#This Row],[Estado]],Control!$C$33:$C$35,Control!$B$33:$B$35,"")</f>
        <v/>
      </c>
      <c r="G67" s="105"/>
      <c r="H67" s="149"/>
      <c r="I67" s="42" t="s">
        <v>16</v>
      </c>
      <c r="J67" s="4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Row],[R5]]="--",Tabla1[[#This Row],[R5]]=""),TRUE,ISNUMBER(_xlfn.XLOOKUP(Tabla1[[#This Row],[R5]],Tabla1[Numero],Tabla1[Icono],""))*(_xlfn.XLOOKUP(Tabla1[[#This Row],[R5]],Tabla1[Numero],Tabla1[Icono],"")&gt;=1)),
IF(OR(Tabla1[[#This Row],[R6]]="--",Tabla1[[#This Row],[R6]]=""),TRUE,ISNUMBER(_xlfn.XLOOKUP(Tabla1[[#This Row],[R6]],Tabla1[Numero],Tabla1[Icono],""))*(_xlfn.XLOOKUP(Tabla1[[#This Row],[R6]],Tabla1[Numero],Tabla1[Icono],"")&gt;=1)),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Row],[A4]],Tabla1[Numero],Tabla1[Icono],"")=2)),
IF(OR(Tabla1[[#This Row],[A5]]="--",Tabla1[[#This Row],[A5]]=""),TRUE,ISNUMBER(_xlfn.XLOOKUP(Tabla1[[#This Row],[A5]],Tabla1[Numero],Tabla1[Icono],""))*(_xlfn.XLOOKUP(Tabla1[[#This Row],[A5]],Tabla1[Numero],Tabla1[Icono],"")=2)),
IF(OR(Tabla1[[#This Row],[A6]]="--",Tabla1[[#This Row],[A6]]=""),TRUE,ISNUMBER(_xlfn.XLOOKUP(Tabla1[[#This Row],[A6]],Tabla1[Numero],Tabla1[Icono],""))*(_xlfn.XLOOKUP(Tabla1[[#This Row],[A6]],Tabla1[Numero],Tabla1[Icono],"")=2)),
IF(OR(Tabla1[[#This Row],[A7]]="--",Tabla1[[#This Row],[A7]]=""),TRUE,ISNUMBER(_xlfn.XLOOKUP(Tabla1[[#This Row],[A7]],Tabla1[Numero],Tabla1[Icono],""))*(_xlfn.XLOOKUP(Tabla1[[#This Row],[A7]],Tabla1[Numero],Tabla1[Icono],"")=2)),
IF(OR(Tabla1[[#This Row],[A8]]="--",Tabla1[[#This Row],[A8]]=""),TRUE,ISNUMBER(_xlfn.XLOOKUP(Tabla1[[#This Row],[A8]],Tabla1[Numero],Tabla1[Icono],""))*(_xlfn.XLOOKUP(Tabla1[[#This Row],[A8]],Tabla1[Numero],Tabla1[Icono],"")=2)),
IF(OR(Tabla1[[#This Row],[A9]]="--",Tabla1[[#This Row],[A9]]=""),TRUE,ISNUMBER(_xlfn.XLOOKUP(Tabla1[[#This Row],[A9]],Tabla1[Numero],Tabla1[Icono],""))*(_xlfn.XLOOKUP(Tabla1[[#This Row],[A9]],Tabla1[Numero],Tabla1[Icono],"")=2))
),"SI","NO"
)))</f>
        <v>NO</v>
      </c>
      <c r="K67" s="42" t="s">
        <v>74</v>
      </c>
      <c r="L67" s="42">
        <v>2</v>
      </c>
      <c r="M67" s="140">
        <v>3</v>
      </c>
      <c r="N67" s="30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67" s="310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28</v>
      </c>
      <c r="P67" s="31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7" s="9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7" s="90" t="str">
        <f>IF(ISNUMBER(MATCH(Tabla1[[#This Row],[Codigo]],tblCorrelativasGenerales[Codigo], 0)),
_xlfn.XLOOKUP(Tabla1[[#This Row],[Codigo]],tblCorrelativasGenerales[Codigo],tblCorrelativasGenerales[R5]),
IF(_anio_ingreso="&lt;2023",
_xlfn.XLOOKUP(Tabla1[[#This Row],[Codigo]],tblCorrelativasAntes2023[Codigo],tblCorrelativasAntes2023[R5]),
_xlfn.XLOOKUP(Tabla1[[#This Row],[Codigo]],tblCorrelativasDesde2023[Codigo],tblCorrelativasDesde2023[R5])
))</f>
        <v>--</v>
      </c>
      <c r="S67" s="311" t="str">
        <f>IF(ISNUMBER(MATCH(Tabla1[[#This Row],[Codigo]],tblCorrelativasGenerales[Codigo], 0)),
_xlfn.XLOOKUP(Tabla1[[#This Row],[Codigo]],tblCorrelativasGenerales[Codigo],tblCorrelativasGenerales[R6]),
IF(_anio_ingreso="&lt;2023",
_xlfn.XLOOKUP(Tabla1[[#This Row],[Codigo]],tblCorrelativasAntes2023[Codigo],tblCorrelativasAntes2023[R6]),
_xlfn.XLOOKUP(Tabla1[[#This Row],[Codigo]],tblCorrelativasDesde2023[Codigo],tblCorrelativasDesde2023[R6])
))</f>
        <v>--</v>
      </c>
      <c r="T67" s="30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17</v>
      </c>
      <c r="U67" s="9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18</v>
      </c>
      <c r="V67" s="90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19</v>
      </c>
      <c r="W67" s="90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21</v>
      </c>
      <c r="X67" s="90">
        <f>IF(ISNUMBER(MATCH(Tabla1[[#This Row],[Codigo]],tblCorrelativasGenerales[Codigo], 0)),
_xlfn.XLOOKUP(Tabla1[[#This Row],[Codigo]],tblCorrelativasGenerales[Codigo],tblCorrelativasGenerales[A5]),
IF(_anio_ingreso="&lt;2023",
_xlfn.XLOOKUP(Tabla1[[#This Row],[Codigo]],tblCorrelativasAntes2023[Codigo],tblCorrelativasAntes2023[A5]),
_xlfn.XLOOKUP(Tabla1[[#This Row],[Codigo]],tblCorrelativasDesde2023[Codigo],tblCorrelativasDesde2023[A5])
))</f>
        <v>22</v>
      </c>
      <c r="Y67" s="90">
        <f>IF(ISNUMBER(MATCH(Tabla1[[#This Row],[Codigo]],tblCorrelativasGenerales[Codigo], 0)),
_xlfn.XLOOKUP(Tabla1[[#This Row],[Codigo]],tblCorrelativasGenerales[Codigo],tblCorrelativasGenerales[A6]),
IF(_anio_ingreso="&lt;2023",
_xlfn.XLOOKUP(Tabla1[[#This Row],[Codigo]],tblCorrelativasAntes2023[Codigo],tblCorrelativasAntes2023[A6]),
_xlfn.XLOOKUP(Tabla1[[#This Row],[Codigo]],tblCorrelativasDesde2023[Codigo],tblCorrelativasDesde2023[A6])
))</f>
        <v>23</v>
      </c>
      <c r="Z67" s="90">
        <f>IF(ISNUMBER(MATCH(Tabla1[[#This Row],[Codigo]],tblCorrelativasGenerales[Codigo], 0)),
_xlfn.XLOOKUP(Tabla1[[#This Row],[Codigo]],tblCorrelativasGenerales[Codigo],tblCorrelativasGenerales[A7]),
IF(_anio_ingreso="&lt;2023",
_xlfn.XLOOKUP(Tabla1[[#This Row],[Codigo]],tblCorrelativasAntes2023[Codigo],tblCorrelativasAntes2023[A7]),
_xlfn.XLOOKUP(Tabla1[[#This Row],[Codigo]],tblCorrelativasDesde2023[Codigo],tblCorrelativasDesde2023[A7])
))</f>
        <v>24</v>
      </c>
      <c r="AA67" s="90">
        <f>IF(ISNUMBER(MATCH(Tabla1[[#This Row],[Codigo]],tblCorrelativasGenerales[Codigo], 0)),
_xlfn.XLOOKUP(Tabla1[[#This Row],[Codigo]],tblCorrelativasGenerales[Codigo],tblCorrelativasGenerales[A8]),
IF(_anio_ingreso="&lt;2023",
_xlfn.XLOOKUP(Tabla1[[#This Row],[Codigo]],tblCorrelativasAntes2023[Codigo],tblCorrelativasAntes2023[A8]),
_xlfn.XLOOKUP(Tabla1[[#This Row],[Codigo]],tblCorrelativasDesde2023[Codigo],tblCorrelativasDesde2023[A8])
))</f>
        <v>25</v>
      </c>
      <c r="AB67" s="219" t="str">
        <f>IF(ISNUMBER(MATCH(Tabla1[[#This Row],[Codigo]],tblCorrelativasGenerales[Codigo], 0)),
_xlfn.XLOOKUP(Tabla1[[#This Row],[Codigo]],tblCorrelativasGenerales[Codigo],tblCorrelativasGenerales[A9]),
IF(_anio_ingreso="&lt;2023",
_xlfn.XLOOKUP(Tabla1[[#This Row],[Codigo]],tblCorrelativasAntes2023[Codigo],tblCorrelativasAntes2023[A9]),
_xlfn.XLOOKUP(Tabla1[[#This Row],[Codigo]],tblCorrelativasDesde2023[Codigo],tblCorrelativasDesde2023[A9])
))</f>
        <v>--</v>
      </c>
      <c r="AC67" s="96" t="b">
        <f>ISNUMBER(SEARCH($H$4,Tabla1[[#This Row],[Materia]],1))</f>
        <v>1</v>
      </c>
      <c r="AD67" s="96" t="b">
        <f>IFERROR(IF(
    (COUNTIF(Tabla1[[#This Row],[R1]:[A9]], _xlfn.XLOOKUP($H$4,Tabla1[Materia],Tabla1[Numero],""))) &gt; 0,
    TRUE,
    FALSE
),FALSE)</f>
        <v>0</v>
      </c>
      <c r="AE67" s="97">
        <v>56</v>
      </c>
      <c r="AF67" s="19"/>
      <c r="AG67" s="19"/>
      <c r="AH67" s="19"/>
      <c r="AI67" s="19"/>
      <c r="AJ67" s="19"/>
      <c r="AK67" s="19"/>
      <c r="AL67" s="19"/>
      <c r="AM67" s="19"/>
      <c r="AN67" s="23"/>
    </row>
    <row r="68" spans="1:40" ht="17.25" customHeight="1" x14ac:dyDescent="0.25">
      <c r="A68" s="17"/>
      <c r="B68" s="308"/>
      <c r="C68" s="308"/>
      <c r="D68" s="308"/>
      <c r="E68" s="308"/>
      <c r="F68" s="308"/>
      <c r="G68" s="308"/>
      <c r="H68" s="308"/>
      <c r="I68" s="308"/>
      <c r="J68" s="308"/>
      <c r="K68" s="308"/>
      <c r="L68" s="308"/>
      <c r="M68" s="308"/>
      <c r="N68" s="308"/>
      <c r="O68" s="308"/>
      <c r="P68" s="308"/>
      <c r="Q68" s="308"/>
      <c r="R68" s="308"/>
      <c r="S68" s="308"/>
      <c r="T68" s="308"/>
      <c r="U68" s="308"/>
      <c r="V68" s="308"/>
      <c r="W68" s="308"/>
      <c r="X68" s="308"/>
      <c r="Y68" s="308"/>
      <c r="Z68" s="308"/>
      <c r="AA68" s="308"/>
      <c r="AB68" s="308"/>
      <c r="AF68" s="19"/>
      <c r="AG68" s="19"/>
      <c r="AH68" s="19"/>
      <c r="AI68" s="19"/>
      <c r="AJ68" s="19"/>
      <c r="AK68" s="19"/>
      <c r="AL68" s="19"/>
      <c r="AM68" s="19"/>
      <c r="AN68" s="23"/>
    </row>
    <row r="69" spans="1:40" ht="17.25" customHeight="1" x14ac:dyDescent="0.25">
      <c r="A69" s="17"/>
      <c r="AF69" s="19"/>
      <c r="AG69" s="19"/>
      <c r="AH69" s="19"/>
      <c r="AI69" s="19"/>
      <c r="AJ69" s="19"/>
      <c r="AK69" s="19"/>
      <c r="AL69" s="19"/>
      <c r="AM69" s="19"/>
      <c r="AN69" s="23"/>
    </row>
    <row r="70" spans="1:40" x14ac:dyDescent="0.25">
      <c r="A70" s="17"/>
    </row>
    <row r="71" spans="1:40" x14ac:dyDescent="0.25">
      <c r="A71" s="25"/>
    </row>
    <row r="72" spans="1:40" ht="56.25" customHeight="1" x14ac:dyDescent="0.25"/>
    <row r="73" spans="1:40" x14ac:dyDescent="0.25"/>
    <row r="74" spans="1:40" x14ac:dyDescent="0.25">
      <c r="G74" s="10"/>
    </row>
    <row r="75" spans="1:40" x14ac:dyDescent="0.25"/>
    <row r="76" spans="1:40" x14ac:dyDescent="0.25"/>
    <row r="77" spans="1:40" x14ac:dyDescent="0.25">
      <c r="G77" s="10"/>
    </row>
    <row r="78" spans="1:40" x14ac:dyDescent="0.25">
      <c r="G78" s="10"/>
    </row>
    <row r="79" spans="1:40" x14ac:dyDescent="0.25"/>
    <row r="80" spans="1:40" x14ac:dyDescent="0.25"/>
    <row r="81" spans="4:4" x14ac:dyDescent="0.25"/>
    <row r="82" spans="4:4" x14ac:dyDescent="0.25"/>
    <row r="83" spans="4:4" x14ac:dyDescent="0.25"/>
    <row r="84" spans="4:4" x14ac:dyDescent="0.25"/>
    <row r="85" spans="4:4" x14ac:dyDescent="0.25"/>
    <row r="86" spans="4:4" x14ac:dyDescent="0.25"/>
    <row r="87" spans="4:4" x14ac:dyDescent="0.25"/>
    <row r="92" spans="4:4" hidden="1" x14ac:dyDescent="0.25">
      <c r="D92" s="19"/>
    </row>
    <row r="93" spans="4:4" ht="14.25" hidden="1" customHeight="1" x14ac:dyDescent="0.25"/>
    <row r="94" spans="4:4" ht="14.25" hidden="1" customHeight="1" x14ac:dyDescent="0.25"/>
    <row r="95" spans="4:4" ht="14.25" hidden="1" customHeight="1" x14ac:dyDescent="0.25"/>
    <row r="96" spans="4:4" ht="14.25" hidden="1" customHeight="1" x14ac:dyDescent="0.25"/>
    <row r="97" ht="14.25" hidden="1" customHeight="1" x14ac:dyDescent="0.25"/>
    <row r="98" ht="14.25" hidden="1" customHeight="1" x14ac:dyDescent="0.25"/>
    <row r="99" ht="14.25" hidden="1" customHeight="1" x14ac:dyDescent="0.25"/>
    <row r="100" ht="14.25" hidden="1" customHeight="1" x14ac:dyDescent="0.25"/>
    <row r="101" ht="14.25" hidden="1" customHeight="1" x14ac:dyDescent="0.25"/>
    <row r="102" ht="14.25" hidden="1" customHeight="1" x14ac:dyDescent="0.25"/>
    <row r="103" ht="14.25" hidden="1" customHeight="1" x14ac:dyDescent="0.25"/>
    <row r="104" ht="14.25" hidden="1" customHeight="1" x14ac:dyDescent="0.25"/>
    <row r="105" ht="14.25" hidden="1" customHeight="1" x14ac:dyDescent="0.25"/>
    <row r="106" ht="14.25" hidden="1" customHeight="1" x14ac:dyDescent="0.25"/>
    <row r="107" ht="14.25" hidden="1" customHeight="1" x14ac:dyDescent="0.25"/>
    <row r="108" ht="14.25" hidden="1" customHeight="1" x14ac:dyDescent="0.25"/>
    <row r="109" ht="14.25" hidden="1" customHeight="1" x14ac:dyDescent="0.25"/>
    <row r="110" ht="14.25" hidden="1" customHeight="1" x14ac:dyDescent="0.25"/>
    <row r="111" ht="14.25" hidden="1" customHeight="1" x14ac:dyDescent="0.25"/>
    <row r="112" ht="14.25" hidden="1" customHeight="1" x14ac:dyDescent="0.25"/>
    <row r="113" ht="14.25" hidden="1" customHeight="1" x14ac:dyDescent="0.25"/>
    <row r="114" ht="14.25" hidden="1" customHeight="1" x14ac:dyDescent="0.25"/>
  </sheetData>
  <sheetProtection algorithmName="SHA-512" hashValue="Ew9x9Xh67OV9TxcYfwtEHssgB7xreSp5vrctrF88qwL0u2bGQ07Z4Cchb7spqRj4gKW3NFN8wjztwD1G5taz1g==" saltValue="rK6w/oX8syoZn28bFWQsdg==" spinCount="100000" sheet="1" sort="0" autoFilter="0"/>
  <dataConsolidate/>
  <mergeCells count="12">
    <mergeCell ref="T10:AB10"/>
    <mergeCell ref="N10:S10"/>
    <mergeCell ref="H4:L4"/>
    <mergeCell ref="B2:U2"/>
    <mergeCell ref="N4:P4"/>
    <mergeCell ref="Q4:R4"/>
    <mergeCell ref="H9:I9"/>
    <mergeCell ref="J8:L8"/>
    <mergeCell ref="H8:I8"/>
    <mergeCell ref="J9:L9"/>
    <mergeCell ref="G7:L7"/>
    <mergeCell ref="N9:AB9"/>
  </mergeCells>
  <phoneticPr fontId="8" type="noConversion"/>
  <conditionalFormatting sqref="F12:F67">
    <cfRule type="iconSet" priority="569">
      <iconSet iconSet="3Symbols2" showValue="0">
        <cfvo type="percent" val="0"/>
        <cfvo type="num" val="1"/>
        <cfvo type="num" val="2"/>
      </iconSet>
    </cfRule>
  </conditionalFormatting>
  <conditionalFormatting sqref="T12:AB67">
    <cfRule type="expression" dxfId="106" priority="602">
      <formula>OR(_xlfn.XLOOKUP(T12,$B$12:$B$67,$F$12:$F$67)="",_xlfn.XLOOKUP(T12,$B$12:$B$67,$F$12:$F$67)&lt;2)</formula>
    </cfRule>
    <cfRule type="expression" dxfId="105" priority="603">
      <formula>LOOKUP(T12,$B$12:$B$67,$F$12:$F$67)=2</formula>
    </cfRule>
  </conditionalFormatting>
  <conditionalFormatting sqref="N12:S67">
    <cfRule type="expression" dxfId="104" priority="606">
      <formula>OR(_xlfn.XLOOKUP(N12,$B$12:$B$67,$F$12:$F$67)="",_xlfn.XLOOKUP(N12,$B$12:$B$67,$F$12:$F$67)&lt;1)</formula>
    </cfRule>
    <cfRule type="expression" dxfId="103" priority="607">
      <formula>LOOKUP(N12,$B$12:$B$67,$F$12:$F$67)&gt;=1</formula>
    </cfRule>
  </conditionalFormatting>
  <dataValidations count="11">
    <dataValidation allowBlank="1" showInputMessage="1" showErrorMessage="1" promptTitle="Identificador de paso de proceso" prompt="Escriba un id. de paso de proceso único para cada forma en el diagrama." sqref="BE8" xr:uid="{4CDC4957-6C31-4064-98D7-982762A74921}"/>
    <dataValidation allowBlank="1" showInputMessage="1" showErrorMessage="1" promptTitle="Descripción del paso de proceso" prompt="Escriba el texto para el paso del proceso que aparecerá en la forma." sqref="BF8" xr:uid="{F2C8DE6E-0581-497C-B5F5-D6B83C4704F0}"/>
    <dataValidation allowBlank="1" showInputMessage="1" showErrorMessage="1" promptTitle="Identificador de paso siguiente" prompt="Escriba el id. de paso del proceso para el siguiente paso. Use comas para separar varios pasos siguientes, como &quot;P600, P700&quot;." sqref="BG8" xr:uid="{37A7D950-9C8E-4C54-8942-DBF6A9C16CD4}"/>
    <dataValidation allowBlank="1" showInputMessage="1" showErrorMessage="1" promptTitle="Etiqueta de conector" prompt="Si quiere, etiquete el conector al siguiente paso. Use comas para separar varios pasos siguientes, como &quot;Sí,No&quot;." sqref="BH8" xr:uid="{33612C46-F1C7-4434-8241-778AB2676A20}"/>
    <dataValidation allowBlank="1" showInputMessage="1" showErrorMessage="1" promptTitle="Tipo de forma" prompt="Escriba el tipo de forma que quiere que use cada paso del proceso." sqref="BI8" xr:uid="{5E067FFE-B484-47EF-AE9D-69C8AC3DD90A}"/>
    <dataValidation allowBlank="1" showInputMessage="1" showErrorMessage="1" promptTitle="Texto alternativo" prompt="El texto alternativo ayuda a las personas con discapacidad visual a comprender el diagrama. Describa cada paso del proceso." sqref="BJ8" xr:uid="{191F22DE-065C-4868-AACA-0A22B40E6101}"/>
    <dataValidation showInputMessage="1" sqref="H4:L4" xr:uid="{0B649C6A-C95B-4C86-A93B-6D5F9D856CD0}"/>
    <dataValidation type="list" allowBlank="1" showInputMessage="1" sqref="BI9:BI10 BP11:BP12" xr:uid="{99135C8E-24D4-4BA3-BCA3-D892194DBB02}">
      <formula1>"Proceso, Decisión, Subproceso, Iniciar, Fin, Documento, Datos, Base de datos, Datos externos, Referencia en página, Referencia a otra página, Personalizado 1, Personalizado 2, Personalizado 3, Personalizado 4"</formula1>
    </dataValidation>
    <dataValidation type="whole" allowBlank="1" showInputMessage="1" showErrorMessage="1" sqref="M12:M67" xr:uid="{E9B0B4FB-B73B-4CB8-BF41-0004A1370D40}">
      <formula1>1</formula1>
      <formula2>100</formula2>
    </dataValidation>
    <dataValidation type="list" allowBlank="1" showInputMessage="1" showErrorMessage="1" sqref="I12:I67" xr:uid="{F10643AC-3B76-41B4-845C-58D937C62153}">
      <formula1>Modalidades</formula1>
    </dataValidation>
    <dataValidation type="whole" allowBlank="1" showInputMessage="1" showErrorMessage="1" sqref="H12:H67" xr:uid="{827AE982-E557-487E-BEA0-3F118EE1CC68}">
      <formula1>1</formula1>
      <formula2>10</formula2>
    </dataValidation>
  </dataValidations>
  <pageMargins left="0.7" right="0.7" top="0.75" bottom="0.75" header="0.3" footer="0.3"/>
  <pageSetup paperSize="9" scale="29" fitToWidth="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269" r:id="rId4" name="CommandButton1">
          <controlPr defaultSize="0" autoFill="0" autoLine="0" r:id="rId5">
            <anchor moveWithCells="1">
              <from>
                <xdr:col>4</xdr:col>
                <xdr:colOff>4238625</xdr:colOff>
                <xdr:row>10</xdr:row>
                <xdr:rowOff>66675</xdr:rowOff>
              </from>
              <to>
                <xdr:col>4</xdr:col>
                <xdr:colOff>4524375</xdr:colOff>
                <xdr:row>10</xdr:row>
                <xdr:rowOff>352425</xdr:rowOff>
              </to>
            </anchor>
          </controlPr>
        </control>
      </mc:Choice>
      <mc:Fallback>
        <control shapeId="3269" r:id="rId4" name="CommandButton1"/>
      </mc:Fallback>
    </mc:AlternateContent>
    <mc:AlternateContent xmlns:mc="http://schemas.openxmlformats.org/markup-compatibility/2006">
      <mc:Choice Requires="x14">
        <control shapeId="1731" r:id="rId6" name="ComboBox1">
          <controlPr defaultSize="0" autoFill="0" autoLine="0" r:id="rId7">
            <anchor>
              <from>
                <xdr:col>12</xdr:col>
                <xdr:colOff>114300</xdr:colOff>
                <xdr:row>2</xdr:row>
                <xdr:rowOff>180975</xdr:rowOff>
              </from>
              <to>
                <xdr:col>12</xdr:col>
                <xdr:colOff>247650</xdr:colOff>
                <xdr:row>4</xdr:row>
                <xdr:rowOff>0</xdr:rowOff>
              </to>
            </anchor>
          </controlPr>
        </control>
      </mc:Choice>
      <mc:Fallback>
        <control shapeId="1731" r:id="rId6" name="ComboBox1"/>
      </mc:Fallback>
    </mc:AlternateContent>
    <mc:AlternateContent xmlns:mc="http://schemas.openxmlformats.org/markup-compatibility/2006">
      <mc:Choice Requires="x14">
        <control shapeId="1876" r:id="rId8" name="TextBox1">
          <controlPr locked="0" defaultSize="0" autoLine="0" r:id="rId9">
            <anchor>
              <from>
                <xdr:col>7</xdr:col>
                <xdr:colOff>9525</xdr:colOff>
                <xdr:row>2</xdr:row>
                <xdr:rowOff>180975</xdr:rowOff>
              </from>
              <to>
                <xdr:col>12</xdr:col>
                <xdr:colOff>123825</xdr:colOff>
                <xdr:row>4</xdr:row>
                <xdr:rowOff>0</xdr:rowOff>
              </to>
            </anchor>
          </controlPr>
        </control>
      </mc:Choice>
      <mc:Fallback>
        <control shapeId="1876" r:id="rId8" name="TextBox1"/>
      </mc:Fallback>
    </mc:AlternateContent>
  </controls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57" id="{00000000-000E-0000-0000-000002000000}">
            <xm:f>AND(Control!$N$3,OR($F12="",$F12&lt;=1))</xm:f>
            <x14:dxf>
              <font>
                <color theme="0"/>
              </font>
              <fill>
                <patternFill>
                  <bgColor rgb="FFE05656"/>
                </patternFill>
              </fill>
            </x14:dxf>
          </x14:cfRule>
          <xm:sqref>B12:AB27 B31:AB55</xm:sqref>
        </x14:conditionalFormatting>
        <x14:conditionalFormatting xmlns:xm="http://schemas.microsoft.com/office/excel/2006/main">
          <x14:cfRule type="expression" priority="363" id="{00000000-000E-0000-0000-0000B9000000}">
            <xm:f>AND(Control!$N$2,OR($F12="",$F12&lt;=1))</xm:f>
            <x14:dxf>
              <font>
                <color theme="0"/>
              </font>
              <fill>
                <patternFill>
                  <bgColor rgb="FF8FA2FF"/>
                </patternFill>
              </fill>
            </x14:dxf>
          </x14:cfRule>
          <xm:sqref>B12:AB27 B31:AB39</xm:sqref>
        </x14:conditionalFormatting>
        <x14:conditionalFormatting xmlns:xm="http://schemas.microsoft.com/office/excel/2006/main">
          <x14:cfRule type="expression" priority="530" id="{00000000-000E-0000-0000-0000BC000000}">
            <xm:f>OR($N12=Control!$N$7,$O12=Control!$N$7,$P12=Control!$N$7,$Q12=Control!$N$7,$R12=Control!$N$7,$S12=Control!$N$7,$T12=Control!$N$7,$U12=Control!$N$7,$V12=Control!$N$7,$W12=Control!$N$7,$X12=Control!$N$7,$Y12=Control!$N$7,$Z12=Control!$N$7,$AA12=Control!$N$7,$AB12=Control!$N$7)</xm:f>
            <x14:dxf>
              <font>
                <color theme="0"/>
              </font>
              <fill>
                <patternFill>
                  <bgColor rgb="FFAF6CF8"/>
                </patternFill>
              </fill>
            </x14:dxf>
          </x14:cfRule>
          <x14:cfRule type="expression" priority="531" id="{00000000-000E-0000-0000-0000BD000000}">
            <xm:f>$B12=Control!$N$6</xm:f>
            <x14:dxf>
              <font>
                <color theme="0"/>
              </font>
              <fill>
                <patternFill>
                  <bgColor theme="1" tint="0.24994659260841701"/>
                </patternFill>
              </fill>
            </x14:dxf>
          </x14:cfRule>
          <x14:cfRule type="expression" priority="532" id="{00000000-000E-0000-0000-0000BE000000}">
            <xm:f>AND(Control!$N$4,$J12="SI")</xm:f>
            <x14:dxf>
              <font>
                <color theme="0"/>
              </font>
              <fill>
                <patternFill>
                  <bgColor rgb="FFED7F3B"/>
                </patternFill>
              </fill>
            </x14:dxf>
          </x14:cfRule>
          <xm:sqref>B12:AB67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6AE0DD1-DD61-44DA-9457-1A6EFA98F676}">
          <x14:formula1>
            <xm:f>Control!$G$55:$G$56</xm:f>
          </x14:formula1>
          <xm:sqref>Q4:R4</xm:sqref>
        </x14:dataValidation>
        <x14:dataValidation type="list" allowBlank="1" showInputMessage="1" showErrorMessage="1" xr:uid="{82879620-7BBF-402C-9137-DEC9E925EF8B}">
          <x14:formula1>
            <xm:f>Control!$C$32:$C$35</xm:f>
          </x14:formula1>
          <xm:sqref>G12:G13 G15:G67</xm:sqref>
        </x14:dataValidation>
        <x14:dataValidation type="list" errorStyle="warning" allowBlank="1" showInputMessage="1" showErrorMessage="1" xr:uid="{3BEFB480-2732-4497-8F02-A6B25C0A7987}">
          <x14:formula1>
            <xm:f>Control!$C$32:$C$35</xm:f>
          </x14:formula1>
          <xm:sqref>G14</xm:sqref>
        </x14:dataValidation>
        <x14:dataValidation type="list" allowBlank="1" showInputMessage="1" showErrorMessage="1" xr:uid="{D0419513-DDB3-4558-874E-668A51261BE3}">
          <x14:formula1>
            <xm:f>Control!$P$3:$P$4</xm:f>
          </x14:formula1>
          <xm:sqref>J9:L9 H5 K12:K67</xm:sqref>
        </x14:dataValidation>
        <x14:dataValidation type="list" allowBlank="1" showInputMessage="1" showErrorMessage="1" xr:uid="{7E83949C-A2E5-4647-BD93-0E45A69C23B2}">
          <x14:formula1>
            <xm:f>Control!$E$55:$E$59</xm:f>
          </x14:formula1>
          <xm:sqref>D12:D67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11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BC106-4D4E-4A12-818E-989BD6E97739}">
  <sheetPr codeName="Hoja2"/>
  <dimension ref="B1:BN264"/>
  <sheetViews>
    <sheetView showGridLines="0" zoomScale="98" zoomScaleNormal="98" workbookViewId="0">
      <selection activeCell="I8" sqref="I8:J8"/>
    </sheetView>
  </sheetViews>
  <sheetFormatPr baseColWidth="10" defaultRowHeight="15" x14ac:dyDescent="0.25"/>
  <cols>
    <col min="1" max="1" width="1.42578125" customWidth="1"/>
    <col min="2" max="2" width="3.7109375" customWidth="1"/>
    <col min="3" max="3" width="13.7109375" customWidth="1"/>
    <col min="4" max="4" width="4.28515625" customWidth="1"/>
    <col min="5" max="5" width="7.28515625" customWidth="1"/>
    <col min="6" max="6" width="4.7109375" customWidth="1"/>
    <col min="7" max="7" width="3.7109375" customWidth="1"/>
    <col min="8" max="8" width="13.7109375" customWidth="1"/>
    <col min="9" max="9" width="4.28515625" customWidth="1"/>
    <col min="10" max="10" width="7.28515625" customWidth="1"/>
    <col min="11" max="11" width="1.7109375" customWidth="1"/>
    <col min="13" max="13" width="9" customWidth="1"/>
    <col min="14" max="24" width="5.140625" customWidth="1"/>
    <col min="25" max="25" width="5.140625" style="16" customWidth="1"/>
    <col min="26" max="28" width="5.140625" customWidth="1"/>
    <col min="31" max="45" width="6.140625" customWidth="1"/>
    <col min="46" max="48" width="4.85546875" customWidth="1"/>
    <col min="50" max="50" width="6.28515625" customWidth="1"/>
    <col min="51" max="51" width="41.140625" customWidth="1"/>
    <col min="52" max="66" width="5.28515625" customWidth="1"/>
    <col min="67" max="67" width="5.85546875" customWidth="1"/>
    <col min="68" max="68" width="20.28515625" bestFit="1" customWidth="1"/>
    <col min="69" max="83" width="2.140625" customWidth="1"/>
  </cols>
  <sheetData>
    <row r="1" spans="2:25" ht="8.25" customHeight="1" x14ac:dyDescent="0.25"/>
    <row r="2" spans="2:25" ht="14.1" customHeight="1" x14ac:dyDescent="0.25">
      <c r="B2" s="270" t="s">
        <v>66</v>
      </c>
      <c r="C2" s="270"/>
      <c r="D2" s="270"/>
      <c r="E2" s="270"/>
      <c r="G2" s="276" t="s">
        <v>53</v>
      </c>
      <c r="H2" s="276"/>
      <c r="I2" s="276"/>
      <c r="J2" s="276"/>
      <c r="M2" s="27" t="s">
        <v>50</v>
      </c>
      <c r="N2" s="28" t="b">
        <v>0</v>
      </c>
      <c r="P2" s="41" t="s">
        <v>77</v>
      </c>
    </row>
    <row r="3" spans="2:25" ht="14.1" customHeight="1" x14ac:dyDescent="0.25">
      <c r="B3" s="270"/>
      <c r="C3" s="270"/>
      <c r="D3" s="270"/>
      <c r="E3" s="270"/>
      <c r="G3" s="276"/>
      <c r="H3" s="276"/>
      <c r="I3" s="276"/>
      <c r="J3" s="276"/>
      <c r="M3" s="27" t="s">
        <v>51</v>
      </c>
      <c r="N3" s="28" t="b">
        <v>0</v>
      </c>
      <c r="P3" s="40" t="s">
        <v>73</v>
      </c>
    </row>
    <row r="4" spans="2:25" ht="14.1" customHeight="1" x14ac:dyDescent="0.25">
      <c r="B4" s="270"/>
      <c r="C4" s="270"/>
      <c r="D4" s="270"/>
      <c r="E4" s="270"/>
      <c r="G4" s="276"/>
      <c r="H4" s="276"/>
      <c r="I4" s="276"/>
      <c r="J4" s="276"/>
      <c r="M4" s="27" t="s">
        <v>52</v>
      </c>
      <c r="N4" s="28" t="b">
        <v>0</v>
      </c>
      <c r="P4" s="40" t="s">
        <v>74</v>
      </c>
    </row>
    <row r="5" spans="2:25" ht="6" customHeight="1" thickBot="1" x14ac:dyDescent="0.3">
      <c r="M5" s="27"/>
      <c r="N5" s="29"/>
    </row>
    <row r="6" spans="2:25" ht="15.95" customHeight="1" thickBot="1" x14ac:dyDescent="0.35">
      <c r="B6" s="79"/>
      <c r="C6" s="33" t="s">
        <v>65</v>
      </c>
      <c r="D6" s="33">
        <f>COUNTA(Tabla1[Numero])</f>
        <v>56</v>
      </c>
      <c r="E6" s="34">
        <v>1</v>
      </c>
      <c r="G6" s="297" t="s">
        <v>69</v>
      </c>
      <c r="H6" s="298"/>
      <c r="I6" s="293" t="s">
        <v>53</v>
      </c>
      <c r="J6" s="294"/>
      <c r="M6" s="27" t="s">
        <v>90</v>
      </c>
      <c r="N6" s="87">
        <v>0</v>
      </c>
    </row>
    <row r="7" spans="2:25" s="79" customFormat="1" ht="15" customHeight="1" thickBot="1" x14ac:dyDescent="0.3">
      <c r="B7" s="81">
        <v>0</v>
      </c>
      <c r="C7" s="82" t="s">
        <v>72</v>
      </c>
      <c r="D7" s="82">
        <f>D6-(D8+D9)</f>
        <v>56</v>
      </c>
      <c r="E7" s="83">
        <f>D7/$D$6</f>
        <v>1</v>
      </c>
      <c r="G7" s="299" t="s">
        <v>145</v>
      </c>
      <c r="H7" s="300"/>
      <c r="I7" s="295">
        <f>SUMIFS(Tabla1[Puntos],Tabla1[Nivel], $E$56, Tabla1[Electiva],"SI", Tabla1[Icono],"=2")</f>
        <v>0</v>
      </c>
      <c r="J7" s="296"/>
      <c r="M7" s="27" t="s">
        <v>89</v>
      </c>
      <c r="N7" s="29">
        <v>0</v>
      </c>
      <c r="Y7" s="86"/>
    </row>
    <row r="8" spans="2:25" s="79" customFormat="1" ht="15" customHeight="1" thickBot="1" x14ac:dyDescent="0.3">
      <c r="B8" s="81">
        <v>1</v>
      </c>
      <c r="C8" s="82" t="s">
        <v>13</v>
      </c>
      <c r="D8" s="82">
        <f>COUNTIF(Tabla1[Icono],1)</f>
        <v>0</v>
      </c>
      <c r="E8" s="83">
        <f>D8/$D$6</f>
        <v>0</v>
      </c>
      <c r="G8" s="301" t="s">
        <v>68</v>
      </c>
      <c r="H8" s="302"/>
      <c r="I8" s="277">
        <f>SUMIFS(Tabla1[Puntos],Tabla1[Nivel], $E$59, Tabla1[Electiva],"SI", Tabla1[Icono],"=2")</f>
        <v>0</v>
      </c>
      <c r="J8" s="278"/>
      <c r="M8" s="30" t="s">
        <v>71</v>
      </c>
      <c r="N8" s="29" t="b">
        <f>FALSE</f>
        <v>0</v>
      </c>
      <c r="Y8" s="86"/>
    </row>
    <row r="9" spans="2:25" s="79" customFormat="1" ht="15" customHeight="1" thickBot="1" x14ac:dyDescent="0.3">
      <c r="B9" s="81">
        <v>2</v>
      </c>
      <c r="C9" s="82" t="s">
        <v>12</v>
      </c>
      <c r="D9" s="82">
        <f>COUNTIF(Tabla1[Icono],2)</f>
        <v>0</v>
      </c>
      <c r="E9" s="83">
        <f>D9/$D$6</f>
        <v>0</v>
      </c>
      <c r="Y9" s="86"/>
    </row>
    <row r="10" spans="2:25" ht="19.5" thickBot="1" x14ac:dyDescent="0.3">
      <c r="G10" s="303" t="s">
        <v>146</v>
      </c>
      <c r="H10" s="304"/>
      <c r="I10" s="279">
        <f>SUM(I7:I8)</f>
        <v>0</v>
      </c>
      <c r="J10" s="280"/>
      <c r="X10" s="16"/>
      <c r="Y10"/>
    </row>
    <row r="11" spans="2:25" ht="6.95" customHeight="1" x14ac:dyDescent="0.25"/>
    <row r="12" spans="2:25" ht="14.1" customHeight="1" x14ac:dyDescent="0.25">
      <c r="B12" s="307"/>
      <c r="C12" s="307"/>
      <c r="D12" s="307"/>
      <c r="E12" s="307"/>
      <c r="G12" s="274" t="s">
        <v>63</v>
      </c>
      <c r="H12" s="274"/>
      <c r="I12" s="274"/>
      <c r="J12" s="274"/>
    </row>
    <row r="13" spans="2:25" ht="14.1" customHeight="1" x14ac:dyDescent="0.25">
      <c r="B13" s="307"/>
      <c r="C13" s="307"/>
      <c r="D13" s="307"/>
      <c r="E13" s="307"/>
      <c r="G13" s="274"/>
      <c r="H13" s="274"/>
      <c r="I13" s="274"/>
      <c r="J13" s="274"/>
    </row>
    <row r="14" spans="2:25" ht="14.1" customHeight="1" x14ac:dyDescent="0.25">
      <c r="B14" s="307"/>
      <c r="C14" s="307"/>
      <c r="D14" s="307"/>
      <c r="E14" s="307"/>
      <c r="G14" s="274"/>
      <c r="H14" s="274"/>
      <c r="I14" s="274"/>
      <c r="J14" s="274"/>
    </row>
    <row r="15" spans="2:25" ht="6.95" customHeight="1" x14ac:dyDescent="0.25">
      <c r="B15" s="8"/>
      <c r="C15" s="8"/>
      <c r="D15" s="8"/>
      <c r="E15" s="8"/>
    </row>
    <row r="16" spans="2:25" ht="12" customHeight="1" x14ac:dyDescent="0.25">
      <c r="D16" s="272"/>
      <c r="E16" s="272"/>
      <c r="I16" s="271">
        <f>COUNTIFS(Tabla1[Electiva],"NO",Tabla1[Icono],"&lt;&gt;2")</f>
        <v>41</v>
      </c>
      <c r="J16" s="271"/>
    </row>
    <row r="17" spans="2:25" ht="12" customHeight="1" x14ac:dyDescent="0.25">
      <c r="D17" s="272"/>
      <c r="E17" s="272"/>
      <c r="I17" s="271"/>
      <c r="J17" s="271"/>
      <c r="M17" s="60"/>
    </row>
    <row r="18" spans="2:25" ht="6.95" customHeight="1" x14ac:dyDescent="0.25">
      <c r="M18" s="60"/>
    </row>
    <row r="19" spans="2:25" s="32" customFormat="1" ht="15.95" customHeight="1" x14ac:dyDescent="0.25">
      <c r="C19" s="33"/>
      <c r="D19" s="33"/>
      <c r="E19" s="34"/>
      <c r="H19" s="33" t="s">
        <v>65</v>
      </c>
      <c r="I19" s="35">
        <f>COUNTIF(Tabla1[Electiva],"NO")</f>
        <v>41</v>
      </c>
      <c r="J19" s="34">
        <v>1</v>
      </c>
      <c r="M19" s="60"/>
    </row>
    <row r="20" spans="2:25" s="79" customFormat="1" ht="15" customHeight="1" x14ac:dyDescent="0.25">
      <c r="B20" s="81"/>
      <c r="C20" s="82"/>
      <c r="D20" s="82"/>
      <c r="E20" s="83"/>
      <c r="G20" s="77">
        <v>0</v>
      </c>
      <c r="H20" s="82" t="s">
        <v>72</v>
      </c>
      <c r="I20" s="31">
        <f>I19-(I21+I22)</f>
        <v>41</v>
      </c>
      <c r="J20" s="83">
        <f>I20/$I$19</f>
        <v>1</v>
      </c>
      <c r="M20" s="98"/>
      <c r="Y20" s="86"/>
    </row>
    <row r="21" spans="2:25" s="79" customFormat="1" ht="15" customHeight="1" x14ac:dyDescent="0.25">
      <c r="B21" s="81"/>
      <c r="C21" s="82"/>
      <c r="D21" s="82"/>
      <c r="E21" s="83"/>
      <c r="G21" s="77">
        <v>1</v>
      </c>
      <c r="H21" s="82" t="s">
        <v>13</v>
      </c>
      <c r="I21" s="31">
        <f>COUNTIFS(Tabla1[Electiva],"NO",Tabla1[Icono],1)</f>
        <v>0</v>
      </c>
      <c r="J21" s="83">
        <f>I21/$I$19</f>
        <v>0</v>
      </c>
      <c r="M21" s="98"/>
      <c r="Y21" s="86"/>
    </row>
    <row r="22" spans="2:25" s="79" customFormat="1" ht="15" customHeight="1" x14ac:dyDescent="0.25">
      <c r="B22" s="81"/>
      <c r="C22" s="82"/>
      <c r="D22" s="82"/>
      <c r="E22" s="83"/>
      <c r="G22" s="77">
        <v>2</v>
      </c>
      <c r="H22" s="82" t="s">
        <v>12</v>
      </c>
      <c r="I22" s="31">
        <f>COUNTIFS(Tabla1[Electiva],"NO",Tabla1[Icono],2)</f>
        <v>0</v>
      </c>
      <c r="J22" s="83">
        <f>I22/$I$19</f>
        <v>0</v>
      </c>
      <c r="M22" s="98"/>
      <c r="Y22" s="86"/>
    </row>
    <row r="23" spans="2:25" ht="6.95" customHeight="1" thickBot="1" x14ac:dyDescent="0.3">
      <c r="M23" s="60"/>
    </row>
    <row r="24" spans="2:25" ht="14.1" customHeight="1" x14ac:dyDescent="0.25">
      <c r="B24" s="275" t="s">
        <v>64</v>
      </c>
      <c r="C24" s="275"/>
      <c r="D24" s="275"/>
      <c r="E24" s="275"/>
      <c r="G24" s="281" t="s">
        <v>47</v>
      </c>
      <c r="H24" s="282"/>
      <c r="I24" s="287">
        <f>IF(ISNUMBER(AVERAGE(Tabla1[Nota])), AVERAGE(Tabla1[Nota]), 0)</f>
        <v>0</v>
      </c>
      <c r="J24" s="288"/>
      <c r="M24" s="60"/>
    </row>
    <row r="25" spans="2:25" ht="14.1" customHeight="1" x14ac:dyDescent="0.25">
      <c r="B25" s="275"/>
      <c r="C25" s="275"/>
      <c r="D25" s="275"/>
      <c r="E25" s="275"/>
      <c r="G25" s="283"/>
      <c r="H25" s="284"/>
      <c r="I25" s="289"/>
      <c r="J25" s="290"/>
      <c r="M25" s="60"/>
    </row>
    <row r="26" spans="2:25" ht="14.1" customHeight="1" thickBot="1" x14ac:dyDescent="0.3">
      <c r="B26" s="275"/>
      <c r="C26" s="275"/>
      <c r="D26" s="275"/>
      <c r="E26" s="275"/>
      <c r="G26" s="285"/>
      <c r="H26" s="286"/>
      <c r="I26" s="291"/>
      <c r="J26" s="292"/>
      <c r="M26" s="60"/>
    </row>
    <row r="27" spans="2:25" ht="6.95" customHeight="1" x14ac:dyDescent="0.25">
      <c r="M27" s="60"/>
    </row>
    <row r="28" spans="2:25" ht="12" customHeight="1" x14ac:dyDescent="0.25">
      <c r="D28" s="273">
        <f>COUNTIF(Tabla1[Cursar],"SI")</f>
        <v>9</v>
      </c>
      <c r="E28" s="273"/>
      <c r="M28" s="60"/>
    </row>
    <row r="29" spans="2:25" ht="12" customHeight="1" x14ac:dyDescent="0.35">
      <c r="D29" s="273"/>
      <c r="E29" s="273"/>
      <c r="F29" s="12"/>
      <c r="M29" s="60"/>
    </row>
    <row r="30" spans="2:25" ht="15" customHeight="1" thickBot="1" x14ac:dyDescent="0.3">
      <c r="F30" s="9"/>
      <c r="M30" s="60"/>
      <c r="Y30"/>
    </row>
    <row r="31" spans="2:25" ht="19.5" thickBot="1" x14ac:dyDescent="0.3">
      <c r="B31" s="305" t="s">
        <v>6</v>
      </c>
      <c r="C31" s="306"/>
      <c r="D31" s="7"/>
      <c r="E31" s="7"/>
      <c r="F31" s="7"/>
      <c r="G31" s="7"/>
      <c r="H31" s="61"/>
      <c r="M31" s="60"/>
      <c r="Y31"/>
    </row>
    <row r="32" spans="2:25" ht="15.75" x14ac:dyDescent="0.25">
      <c r="B32" s="2"/>
      <c r="C32" s="19"/>
      <c r="D32" s="19"/>
      <c r="E32" s="36" t="s">
        <v>5</v>
      </c>
      <c r="F32" s="19" t="s">
        <v>9</v>
      </c>
      <c r="G32" s="19"/>
      <c r="H32" s="3"/>
      <c r="M32" s="60"/>
      <c r="Y32"/>
    </row>
    <row r="33" spans="2:25" ht="15.75" x14ac:dyDescent="0.25">
      <c r="B33" s="39">
        <v>0</v>
      </c>
      <c r="C33" s="38" t="s">
        <v>100</v>
      </c>
      <c r="D33" s="19"/>
      <c r="E33" s="36" t="s">
        <v>15</v>
      </c>
      <c r="F33" s="19" t="s">
        <v>10</v>
      </c>
      <c r="G33" s="19"/>
      <c r="H33" s="3"/>
      <c r="I33" s="19"/>
      <c r="M33" s="60"/>
      <c r="Y33"/>
    </row>
    <row r="34" spans="2:25" ht="15.75" x14ac:dyDescent="0.25">
      <c r="B34" s="39">
        <v>1</v>
      </c>
      <c r="C34" s="38" t="s">
        <v>3</v>
      </c>
      <c r="D34" s="19"/>
      <c r="E34" s="36" t="s">
        <v>16</v>
      </c>
      <c r="F34" s="19" t="s">
        <v>11</v>
      </c>
      <c r="G34" s="19"/>
      <c r="H34" s="3"/>
      <c r="I34" s="19"/>
      <c r="M34" s="60"/>
      <c r="Y34"/>
    </row>
    <row r="35" spans="2:25" ht="15.75" x14ac:dyDescent="0.25">
      <c r="B35" s="39">
        <v>2</v>
      </c>
      <c r="C35" s="38" t="s">
        <v>14</v>
      </c>
      <c r="D35" s="19"/>
      <c r="E35" s="36" t="s">
        <v>7</v>
      </c>
      <c r="F35" s="19" t="s">
        <v>8</v>
      </c>
      <c r="G35" s="19"/>
      <c r="H35" s="3"/>
      <c r="I35" s="19"/>
      <c r="M35" s="60"/>
      <c r="X35" s="16"/>
      <c r="Y35"/>
    </row>
    <row r="36" spans="2:25" ht="15.75" thickBot="1" x14ac:dyDescent="0.3">
      <c r="B36" s="37"/>
      <c r="C36" s="4"/>
      <c r="D36" s="4"/>
      <c r="E36" s="4"/>
      <c r="F36" s="4"/>
      <c r="G36" s="4"/>
      <c r="H36" s="5"/>
      <c r="I36" s="19"/>
      <c r="M36" s="60"/>
      <c r="X36" s="16"/>
      <c r="Y36"/>
    </row>
    <row r="37" spans="2:25" ht="6.95" customHeight="1" x14ac:dyDescent="0.25">
      <c r="I37" s="19"/>
      <c r="M37" s="60"/>
      <c r="X37" s="16"/>
      <c r="Y37"/>
    </row>
    <row r="38" spans="2:25" ht="15" customHeight="1" x14ac:dyDescent="0.25">
      <c r="I38" s="19"/>
      <c r="M38" s="60"/>
      <c r="X38" s="16"/>
      <c r="Y38"/>
    </row>
    <row r="39" spans="2:25" ht="15" customHeight="1" x14ac:dyDescent="0.25">
      <c r="B39" s="19"/>
      <c r="C39" s="19"/>
      <c r="D39" s="19"/>
      <c r="E39" s="19"/>
      <c r="F39" s="19"/>
      <c r="G39" s="19"/>
      <c r="H39" s="19"/>
      <c r="I39" s="19"/>
      <c r="M39" s="60"/>
      <c r="X39" s="16"/>
      <c r="Y39"/>
    </row>
    <row r="40" spans="2:25" ht="15" customHeight="1" x14ac:dyDescent="0.25">
      <c r="B40" s="19"/>
      <c r="C40" s="19"/>
      <c r="D40" s="19"/>
      <c r="E40" s="19"/>
      <c r="F40" s="19"/>
      <c r="G40" s="19"/>
      <c r="H40" s="19"/>
      <c r="I40" s="19"/>
      <c r="M40" s="60"/>
      <c r="X40" s="16"/>
      <c r="Y40"/>
    </row>
    <row r="41" spans="2:25" ht="15" customHeight="1" x14ac:dyDescent="0.25">
      <c r="E41" s="10"/>
      <c r="M41" s="60"/>
      <c r="X41" s="16"/>
      <c r="Y41"/>
    </row>
    <row r="42" spans="2:25" x14ac:dyDescent="0.25">
      <c r="M42" s="60"/>
      <c r="X42" s="16"/>
      <c r="Y42"/>
    </row>
    <row r="43" spans="2:25" x14ac:dyDescent="0.25">
      <c r="M43" s="60"/>
      <c r="X43" s="16"/>
      <c r="Y43"/>
    </row>
    <row r="44" spans="2:25" x14ac:dyDescent="0.25">
      <c r="M44" s="60"/>
      <c r="X44" s="16"/>
      <c r="Y44"/>
    </row>
    <row r="45" spans="2:25" x14ac:dyDescent="0.25">
      <c r="M45" s="60"/>
      <c r="X45" s="16"/>
      <c r="Y45"/>
    </row>
    <row r="46" spans="2:25" x14ac:dyDescent="0.25">
      <c r="M46" s="60"/>
      <c r="X46" s="16"/>
      <c r="Y46"/>
    </row>
    <row r="47" spans="2:25" x14ac:dyDescent="0.25">
      <c r="M47" s="60"/>
      <c r="X47" s="16"/>
      <c r="Y47"/>
    </row>
    <row r="48" spans="2:25" x14ac:dyDescent="0.25">
      <c r="M48" s="60"/>
      <c r="X48" s="16"/>
      <c r="Y48"/>
    </row>
    <row r="49" spans="2:25" x14ac:dyDescent="0.25">
      <c r="B49" t="s">
        <v>30</v>
      </c>
      <c r="M49" s="60"/>
      <c r="X49" s="16"/>
      <c r="Y49"/>
    </row>
    <row r="50" spans="2:25" x14ac:dyDescent="0.25">
      <c r="M50" s="60"/>
      <c r="X50" s="16"/>
      <c r="Y50"/>
    </row>
    <row r="51" spans="2:25" x14ac:dyDescent="0.25">
      <c r="M51" s="60"/>
      <c r="X51" s="16"/>
      <c r="Y51"/>
    </row>
    <row r="52" spans="2:25" x14ac:dyDescent="0.25">
      <c r="M52" s="60"/>
      <c r="X52" s="16"/>
      <c r="Y52"/>
    </row>
    <row r="53" spans="2:25" x14ac:dyDescent="0.25">
      <c r="M53" s="60"/>
      <c r="X53" s="16"/>
      <c r="Y53"/>
    </row>
    <row r="54" spans="2:25" x14ac:dyDescent="0.25">
      <c r="B54" s="10"/>
      <c r="C54" t="s">
        <v>20</v>
      </c>
      <c r="E54" s="6" t="s">
        <v>69</v>
      </c>
      <c r="G54" s="53" t="s">
        <v>95</v>
      </c>
      <c r="M54" s="60"/>
      <c r="X54" s="16"/>
      <c r="Y54"/>
    </row>
    <row r="55" spans="2:25" ht="15.75" x14ac:dyDescent="0.25">
      <c r="C55" s="1" t="s">
        <v>5</v>
      </c>
      <c r="E55" s="48" t="s">
        <v>84</v>
      </c>
      <c r="G55" s="53" t="s">
        <v>96</v>
      </c>
      <c r="M55" s="60"/>
      <c r="X55" s="16"/>
      <c r="Y55"/>
    </row>
    <row r="56" spans="2:25" ht="15.75" x14ac:dyDescent="0.25">
      <c r="C56" s="1" t="s">
        <v>15</v>
      </c>
      <c r="E56" s="48" t="s">
        <v>85</v>
      </c>
      <c r="G56" s="53" t="s">
        <v>97</v>
      </c>
      <c r="M56" s="60"/>
      <c r="X56" s="16"/>
      <c r="Y56"/>
    </row>
    <row r="57" spans="2:25" ht="15.75" x14ac:dyDescent="0.25">
      <c r="C57" s="1" t="s">
        <v>16</v>
      </c>
      <c r="E57" s="48" t="s">
        <v>86</v>
      </c>
      <c r="M57" s="60"/>
      <c r="X57" s="16"/>
      <c r="Y57"/>
    </row>
    <row r="58" spans="2:25" ht="15.75" x14ac:dyDescent="0.25">
      <c r="C58" s="1" t="s">
        <v>7</v>
      </c>
      <c r="E58" s="48" t="s">
        <v>87</v>
      </c>
      <c r="M58" s="60"/>
      <c r="X58" s="16"/>
      <c r="Y58"/>
    </row>
    <row r="59" spans="2:25" ht="15.75" x14ac:dyDescent="0.25">
      <c r="C59" s="1" t="s">
        <v>18</v>
      </c>
      <c r="E59" s="48" t="s">
        <v>88</v>
      </c>
      <c r="M59" s="60"/>
      <c r="X59" s="16"/>
      <c r="Y59"/>
    </row>
    <row r="60" spans="2:25" ht="15.75" x14ac:dyDescent="0.25">
      <c r="C60" s="1" t="s">
        <v>17</v>
      </c>
      <c r="F60" s="15"/>
      <c r="G60" s="15"/>
      <c r="M60" s="60"/>
      <c r="X60" s="16"/>
      <c r="Y60"/>
    </row>
    <row r="61" spans="2:25" ht="15.75" x14ac:dyDescent="0.25">
      <c r="C61" s="1" t="s">
        <v>19</v>
      </c>
      <c r="F61" s="15"/>
      <c r="M61" s="60"/>
      <c r="X61" s="16"/>
      <c r="Y61"/>
    </row>
    <row r="62" spans="2:25" x14ac:dyDescent="0.25">
      <c r="F62" s="15"/>
      <c r="M62" s="60"/>
      <c r="X62" s="16"/>
      <c r="Y62"/>
    </row>
    <row r="63" spans="2:25" x14ac:dyDescent="0.25">
      <c r="M63" s="60"/>
      <c r="X63" s="16"/>
      <c r="Y63"/>
    </row>
    <row r="64" spans="2:25" x14ac:dyDescent="0.25">
      <c r="M64" s="60"/>
      <c r="X64" s="16"/>
      <c r="Y64"/>
    </row>
    <row r="65" spans="13:45" x14ac:dyDescent="0.25">
      <c r="M65" s="60"/>
      <c r="X65" s="16"/>
      <c r="Y65"/>
    </row>
    <row r="66" spans="13:45" x14ac:dyDescent="0.25">
      <c r="M66" s="60"/>
      <c r="X66" s="16"/>
      <c r="Y66"/>
    </row>
    <row r="67" spans="13:45" x14ac:dyDescent="0.25">
      <c r="M67" s="60"/>
      <c r="X67" s="16"/>
      <c r="Y67"/>
    </row>
    <row r="68" spans="13:45" x14ac:dyDescent="0.25">
      <c r="M68" s="60"/>
      <c r="X68" s="16"/>
      <c r="Y68"/>
    </row>
    <row r="69" spans="13:45" x14ac:dyDescent="0.25">
      <c r="M69" s="60"/>
      <c r="X69" s="16"/>
      <c r="Y69"/>
    </row>
    <row r="70" spans="13:45" x14ac:dyDescent="0.25">
      <c r="M70" s="60"/>
      <c r="X70" s="16"/>
      <c r="Y70"/>
    </row>
    <row r="71" spans="13:45" x14ac:dyDescent="0.25">
      <c r="M71" s="60"/>
      <c r="X71" s="16"/>
      <c r="Y71"/>
    </row>
    <row r="72" spans="13:45" x14ac:dyDescent="0.25">
      <c r="M72" s="60"/>
      <c r="X72" s="16"/>
      <c r="Y72"/>
    </row>
    <row r="73" spans="13:45" x14ac:dyDescent="0.25">
      <c r="M73" s="60"/>
      <c r="X73" s="16"/>
      <c r="Y73"/>
    </row>
    <row r="74" spans="13:45" x14ac:dyDescent="0.25">
      <c r="M74" s="60"/>
      <c r="X74" s="16"/>
      <c r="Y74"/>
    </row>
    <row r="75" spans="13:45" x14ac:dyDescent="0.25">
      <c r="M75" t="s">
        <v>98</v>
      </c>
      <c r="AD75" t="s">
        <v>99</v>
      </c>
      <c r="AF75" s="16"/>
    </row>
    <row r="76" spans="13:45" ht="15.75" thickBot="1" x14ac:dyDescent="0.3">
      <c r="M76" s="240" t="s">
        <v>70</v>
      </c>
      <c r="N76" s="240" t="s">
        <v>61</v>
      </c>
      <c r="O76" s="240" t="s">
        <v>55</v>
      </c>
      <c r="P76" s="240" t="s">
        <v>56</v>
      </c>
      <c r="Q76" s="240" t="s">
        <v>57</v>
      </c>
      <c r="R76" s="240" t="s">
        <v>103</v>
      </c>
      <c r="S76" s="240" t="s">
        <v>104</v>
      </c>
      <c r="T76" s="240" t="s">
        <v>62</v>
      </c>
      <c r="U76" s="240" t="s">
        <v>58</v>
      </c>
      <c r="V76" s="240" t="s">
        <v>59</v>
      </c>
      <c r="W76" s="240" t="s">
        <v>60</v>
      </c>
      <c r="X76" s="240" t="s">
        <v>105</v>
      </c>
      <c r="Y76" s="240" t="s">
        <v>106</v>
      </c>
      <c r="Z76" s="240" t="s">
        <v>107</v>
      </c>
      <c r="AA76" s="240" t="s">
        <v>108</v>
      </c>
      <c r="AB76" s="240" t="s">
        <v>109</v>
      </c>
      <c r="AD76" s="240" t="s">
        <v>70</v>
      </c>
      <c r="AE76" s="241" t="s">
        <v>61</v>
      </c>
      <c r="AF76" s="241" t="s">
        <v>55</v>
      </c>
      <c r="AG76" s="241" t="s">
        <v>56</v>
      </c>
      <c r="AH76" s="241" t="s">
        <v>57</v>
      </c>
      <c r="AI76" s="241" t="s">
        <v>103</v>
      </c>
      <c r="AJ76" s="241" t="s">
        <v>104</v>
      </c>
      <c r="AK76" s="241" t="s">
        <v>62</v>
      </c>
      <c r="AL76" s="242" t="s">
        <v>58</v>
      </c>
      <c r="AM76" s="243" t="s">
        <v>59</v>
      </c>
      <c r="AN76" s="244" t="s">
        <v>60</v>
      </c>
      <c r="AO76" s="243" t="s">
        <v>105</v>
      </c>
      <c r="AP76" s="244" t="s">
        <v>106</v>
      </c>
      <c r="AQ76" s="243" t="s">
        <v>107</v>
      </c>
      <c r="AR76" s="244" t="s">
        <v>108</v>
      </c>
      <c r="AS76" s="243" t="s">
        <v>109</v>
      </c>
    </row>
    <row r="77" spans="13:45" ht="15.75" thickTop="1" x14ac:dyDescent="0.25">
      <c r="M77" s="59">
        <v>9</v>
      </c>
      <c r="N77" s="53">
        <v>2</v>
      </c>
      <c r="O77" s="53" t="s">
        <v>21</v>
      </c>
      <c r="P77" s="53" t="s">
        <v>21</v>
      </c>
      <c r="Q77" s="53" t="s">
        <v>21</v>
      </c>
      <c r="R77" s="53" t="s">
        <v>21</v>
      </c>
      <c r="S77" s="53" t="s">
        <v>21</v>
      </c>
      <c r="T77" s="53" t="s">
        <v>21</v>
      </c>
      <c r="U77" s="53" t="s">
        <v>21</v>
      </c>
      <c r="V77" s="53" t="s">
        <v>21</v>
      </c>
      <c r="W77" s="53" t="s">
        <v>21</v>
      </c>
      <c r="X77" s="53" t="s">
        <v>21</v>
      </c>
      <c r="Y77" s="53" t="s">
        <v>21</v>
      </c>
      <c r="Z77" s="53" t="s">
        <v>21</v>
      </c>
      <c r="AA77" s="53" t="s">
        <v>21</v>
      </c>
      <c r="AB77" s="53" t="s">
        <v>21</v>
      </c>
      <c r="AD77" s="53">
        <v>9</v>
      </c>
      <c r="AE77" s="6">
        <v>2</v>
      </c>
      <c r="AF77" s="6">
        <v>4</v>
      </c>
      <c r="AG77" s="6" t="s">
        <v>21</v>
      </c>
      <c r="AH77" s="6" t="s">
        <v>21</v>
      </c>
      <c r="AI77" s="6" t="s">
        <v>21</v>
      </c>
      <c r="AJ77" s="6" t="s">
        <v>21</v>
      </c>
      <c r="AK77" s="6" t="s">
        <v>21</v>
      </c>
      <c r="AL77" s="6" t="s">
        <v>21</v>
      </c>
      <c r="AM77" s="6" t="s">
        <v>21</v>
      </c>
      <c r="AN77" s="6" t="s">
        <v>21</v>
      </c>
      <c r="AO77" s="6" t="s">
        <v>21</v>
      </c>
      <c r="AP77" s="6" t="s">
        <v>21</v>
      </c>
      <c r="AQ77" s="6" t="s">
        <v>21</v>
      </c>
      <c r="AR77" s="6" t="s">
        <v>21</v>
      </c>
      <c r="AS77" s="6" t="s">
        <v>21</v>
      </c>
    </row>
    <row r="78" spans="13:45" x14ac:dyDescent="0.25">
      <c r="M78" s="59">
        <v>10</v>
      </c>
      <c r="N78" s="53">
        <v>3</v>
      </c>
      <c r="O78" s="53">
        <v>4</v>
      </c>
      <c r="P78" s="53" t="s">
        <v>21</v>
      </c>
      <c r="Q78" s="53" t="s">
        <v>21</v>
      </c>
      <c r="R78" s="53" t="s">
        <v>21</v>
      </c>
      <c r="S78" s="53" t="s">
        <v>21</v>
      </c>
      <c r="T78" s="53" t="s">
        <v>21</v>
      </c>
      <c r="U78" s="53" t="s">
        <v>21</v>
      </c>
      <c r="V78" s="53" t="s">
        <v>21</v>
      </c>
      <c r="W78" s="53" t="s">
        <v>21</v>
      </c>
      <c r="X78" s="53" t="s">
        <v>21</v>
      </c>
      <c r="Y78" s="53" t="s">
        <v>21</v>
      </c>
      <c r="Z78" s="53" t="s">
        <v>21</v>
      </c>
      <c r="AA78" s="53" t="s">
        <v>21</v>
      </c>
      <c r="AB78" s="53" t="s">
        <v>21</v>
      </c>
      <c r="AD78" s="53">
        <v>10</v>
      </c>
      <c r="AE78" s="6">
        <v>1</v>
      </c>
      <c r="AF78" s="6">
        <v>3</v>
      </c>
      <c r="AG78" s="6">
        <v>4</v>
      </c>
      <c r="AH78" s="6" t="s">
        <v>21</v>
      </c>
      <c r="AI78" s="6" t="s">
        <v>21</v>
      </c>
      <c r="AJ78" s="6" t="s">
        <v>21</v>
      </c>
      <c r="AK78" s="6" t="s">
        <v>21</v>
      </c>
      <c r="AL78" s="6" t="s">
        <v>21</v>
      </c>
      <c r="AM78" s="6" t="s">
        <v>21</v>
      </c>
      <c r="AN78" s="6" t="s">
        <v>21</v>
      </c>
      <c r="AO78" s="6" t="s">
        <v>21</v>
      </c>
      <c r="AP78" s="6" t="s">
        <v>21</v>
      </c>
      <c r="AQ78" s="6" t="s">
        <v>21</v>
      </c>
      <c r="AR78" s="6" t="s">
        <v>21</v>
      </c>
      <c r="AS78" s="6" t="s">
        <v>21</v>
      </c>
    </row>
    <row r="79" spans="13:45" x14ac:dyDescent="0.25">
      <c r="M79" s="59">
        <v>11</v>
      </c>
      <c r="N79" s="53">
        <v>2</v>
      </c>
      <c r="O79" s="53" t="s">
        <v>21</v>
      </c>
      <c r="P79" s="53" t="s">
        <v>21</v>
      </c>
      <c r="Q79" s="53" t="s">
        <v>21</v>
      </c>
      <c r="R79" s="53" t="s">
        <v>21</v>
      </c>
      <c r="S79" s="53" t="s">
        <v>21</v>
      </c>
      <c r="T79" s="53" t="s">
        <v>21</v>
      </c>
      <c r="U79" s="53" t="s">
        <v>21</v>
      </c>
      <c r="V79" s="53" t="s">
        <v>21</v>
      </c>
      <c r="W79" s="53" t="s">
        <v>21</v>
      </c>
      <c r="X79" s="53" t="s">
        <v>21</v>
      </c>
      <c r="Y79" s="53" t="s">
        <v>21</v>
      </c>
      <c r="Z79" s="53" t="s">
        <v>21</v>
      </c>
      <c r="AA79" s="53" t="s">
        <v>21</v>
      </c>
      <c r="AB79" s="53" t="s">
        <v>21</v>
      </c>
      <c r="AD79" s="53">
        <v>11</v>
      </c>
      <c r="AE79" s="6">
        <v>2</v>
      </c>
      <c r="AF79" s="6">
        <v>4</v>
      </c>
      <c r="AG79" s="6" t="s">
        <v>21</v>
      </c>
      <c r="AH79" s="6" t="s">
        <v>21</v>
      </c>
      <c r="AI79" s="6" t="s">
        <v>21</v>
      </c>
      <c r="AJ79" s="6" t="s">
        <v>21</v>
      </c>
      <c r="AK79" s="6" t="s">
        <v>21</v>
      </c>
      <c r="AL79" s="6" t="s">
        <v>21</v>
      </c>
      <c r="AM79" s="6" t="s">
        <v>21</v>
      </c>
      <c r="AN79" s="6" t="s">
        <v>21</v>
      </c>
      <c r="AO79" s="6" t="s">
        <v>21</v>
      </c>
      <c r="AP79" s="6" t="s">
        <v>21</v>
      </c>
      <c r="AQ79" s="6" t="s">
        <v>21</v>
      </c>
      <c r="AR79" s="6" t="s">
        <v>21</v>
      </c>
      <c r="AS79" s="6" t="s">
        <v>21</v>
      </c>
    </row>
    <row r="80" spans="13:45" x14ac:dyDescent="0.25">
      <c r="M80" s="59">
        <v>14</v>
      </c>
      <c r="N80" s="53">
        <v>2</v>
      </c>
      <c r="O80" s="53" t="s">
        <v>21</v>
      </c>
      <c r="P80" s="53" t="s">
        <v>21</v>
      </c>
      <c r="Q80" s="53" t="s">
        <v>21</v>
      </c>
      <c r="R80" s="53" t="s">
        <v>21</v>
      </c>
      <c r="S80" s="53" t="s">
        <v>21</v>
      </c>
      <c r="T80" s="53" t="s">
        <v>21</v>
      </c>
      <c r="U80" s="53" t="s">
        <v>21</v>
      </c>
      <c r="V80" s="53" t="s">
        <v>21</v>
      </c>
      <c r="W80" s="53" t="s">
        <v>21</v>
      </c>
      <c r="X80" s="53" t="s">
        <v>21</v>
      </c>
      <c r="Y80" s="53" t="s">
        <v>21</v>
      </c>
      <c r="Z80" s="53" t="s">
        <v>21</v>
      </c>
      <c r="AA80" s="53" t="s">
        <v>21</v>
      </c>
      <c r="AB80" s="53" t="s">
        <v>21</v>
      </c>
      <c r="AD80" s="53">
        <v>14</v>
      </c>
      <c r="AE80" s="6">
        <v>2</v>
      </c>
      <c r="AF80" s="6">
        <v>4</v>
      </c>
      <c r="AG80" s="6" t="s">
        <v>21</v>
      </c>
      <c r="AH80" s="6" t="s">
        <v>21</v>
      </c>
      <c r="AI80" s="6" t="s">
        <v>21</v>
      </c>
      <c r="AJ80" s="6" t="s">
        <v>21</v>
      </c>
      <c r="AK80" s="6" t="s">
        <v>21</v>
      </c>
      <c r="AL80" s="6" t="s">
        <v>21</v>
      </c>
      <c r="AM80" s="6" t="s">
        <v>21</v>
      </c>
      <c r="AN80" s="6" t="s">
        <v>21</v>
      </c>
      <c r="AO80" s="6" t="s">
        <v>21</v>
      </c>
      <c r="AP80" s="6" t="s">
        <v>21</v>
      </c>
      <c r="AQ80" s="6" t="s">
        <v>21</v>
      </c>
      <c r="AR80" s="6" t="s">
        <v>21</v>
      </c>
      <c r="AS80" s="6" t="s">
        <v>21</v>
      </c>
    </row>
    <row r="81" spans="13:45" x14ac:dyDescent="0.25">
      <c r="M81" s="59">
        <v>15</v>
      </c>
      <c r="N81" s="53">
        <v>1</v>
      </c>
      <c r="O81" s="53">
        <v>4</v>
      </c>
      <c r="P81" s="53">
        <v>6</v>
      </c>
      <c r="Q81" s="53" t="s">
        <v>21</v>
      </c>
      <c r="R81" s="53" t="s">
        <v>21</v>
      </c>
      <c r="S81" s="53" t="s">
        <v>21</v>
      </c>
      <c r="T81" s="53" t="s">
        <v>21</v>
      </c>
      <c r="U81" s="53" t="s">
        <v>21</v>
      </c>
      <c r="V81" s="53" t="s">
        <v>21</v>
      </c>
      <c r="W81" s="53" t="s">
        <v>21</v>
      </c>
      <c r="X81" s="53" t="s">
        <v>21</v>
      </c>
      <c r="Y81" s="53" t="s">
        <v>21</v>
      </c>
      <c r="Z81" s="53" t="s">
        <v>21</v>
      </c>
      <c r="AA81" s="53" t="s">
        <v>21</v>
      </c>
      <c r="AB81" s="53" t="s">
        <v>21</v>
      </c>
      <c r="AD81" s="53">
        <v>15</v>
      </c>
      <c r="AE81" s="6">
        <v>4</v>
      </c>
      <c r="AF81" s="6">
        <v>6</v>
      </c>
      <c r="AG81" s="6" t="s">
        <v>21</v>
      </c>
      <c r="AH81" s="6" t="s">
        <v>21</v>
      </c>
      <c r="AI81" s="6" t="s">
        <v>21</v>
      </c>
      <c r="AJ81" s="6" t="s">
        <v>21</v>
      </c>
      <c r="AK81" s="6" t="s">
        <v>21</v>
      </c>
      <c r="AL81" s="6" t="s">
        <v>21</v>
      </c>
      <c r="AM81" s="6" t="s">
        <v>21</v>
      </c>
      <c r="AN81" s="6" t="s">
        <v>21</v>
      </c>
      <c r="AO81" s="6" t="s">
        <v>21</v>
      </c>
      <c r="AP81" s="6" t="s">
        <v>21</v>
      </c>
      <c r="AQ81" s="6" t="s">
        <v>21</v>
      </c>
      <c r="AR81" s="6" t="s">
        <v>21</v>
      </c>
      <c r="AS81" s="6" t="s">
        <v>21</v>
      </c>
    </row>
    <row r="82" spans="13:45" x14ac:dyDescent="0.25">
      <c r="M82" s="59">
        <v>20</v>
      </c>
      <c r="N82" s="53">
        <v>11</v>
      </c>
      <c r="O82" s="53">
        <v>13</v>
      </c>
      <c r="P82" s="53" t="s">
        <v>21</v>
      </c>
      <c r="Q82" s="53" t="s">
        <v>21</v>
      </c>
      <c r="R82" s="53" t="s">
        <v>21</v>
      </c>
      <c r="S82" s="53" t="s">
        <v>21</v>
      </c>
      <c r="T82" s="53">
        <v>1</v>
      </c>
      <c r="U82" s="53">
        <v>2</v>
      </c>
      <c r="V82" s="53">
        <v>4</v>
      </c>
      <c r="W82" s="53" t="s">
        <v>21</v>
      </c>
      <c r="X82" s="53" t="s">
        <v>21</v>
      </c>
      <c r="Y82" s="53" t="s">
        <v>21</v>
      </c>
      <c r="Z82" s="53" t="s">
        <v>21</v>
      </c>
      <c r="AA82" s="53" t="s">
        <v>21</v>
      </c>
      <c r="AB82" s="53" t="s">
        <v>21</v>
      </c>
      <c r="AD82" s="53">
        <v>20</v>
      </c>
      <c r="AE82" s="6">
        <v>10</v>
      </c>
      <c r="AF82" s="6">
        <v>11</v>
      </c>
      <c r="AG82" s="6">
        <v>13</v>
      </c>
      <c r="AH82" s="6" t="s">
        <v>21</v>
      </c>
      <c r="AI82" s="6" t="s">
        <v>21</v>
      </c>
      <c r="AJ82" s="6" t="s">
        <v>21</v>
      </c>
      <c r="AK82" s="6">
        <v>1</v>
      </c>
      <c r="AL82" s="6">
        <v>4</v>
      </c>
      <c r="AM82" s="6" t="s">
        <v>21</v>
      </c>
      <c r="AN82" s="6" t="s">
        <v>21</v>
      </c>
      <c r="AO82" s="6" t="s">
        <v>21</v>
      </c>
      <c r="AP82" s="6" t="s">
        <v>21</v>
      </c>
      <c r="AQ82" s="6" t="s">
        <v>21</v>
      </c>
      <c r="AR82" s="6" t="s">
        <v>21</v>
      </c>
      <c r="AS82" s="6" t="s">
        <v>21</v>
      </c>
    </row>
    <row r="83" spans="13:45" x14ac:dyDescent="0.25">
      <c r="M83" s="59">
        <v>21</v>
      </c>
      <c r="N83" s="53" t="s">
        <v>21</v>
      </c>
      <c r="O83" s="53" t="s">
        <v>21</v>
      </c>
      <c r="P83" s="53" t="s">
        <v>21</v>
      </c>
      <c r="Q83" s="53" t="s">
        <v>21</v>
      </c>
      <c r="R83" s="53" t="s">
        <v>21</v>
      </c>
      <c r="S83" s="53" t="s">
        <v>21</v>
      </c>
      <c r="T83" s="53">
        <v>6</v>
      </c>
      <c r="U83" s="53">
        <v>7</v>
      </c>
      <c r="V83" s="53" t="s">
        <v>21</v>
      </c>
      <c r="W83" s="53" t="s">
        <v>21</v>
      </c>
      <c r="X83" s="53" t="s">
        <v>21</v>
      </c>
      <c r="Y83" s="53" t="s">
        <v>21</v>
      </c>
      <c r="Z83" s="53" t="s">
        <v>21</v>
      </c>
      <c r="AA83" s="53" t="s">
        <v>21</v>
      </c>
      <c r="AB83" s="53" t="s">
        <v>21</v>
      </c>
      <c r="AD83" s="53">
        <v>21</v>
      </c>
      <c r="AE83" s="6">
        <v>9</v>
      </c>
      <c r="AF83" s="6">
        <v>10</v>
      </c>
      <c r="AG83" s="6">
        <v>11</v>
      </c>
      <c r="AH83" s="6" t="s">
        <v>21</v>
      </c>
      <c r="AI83" s="6" t="s">
        <v>21</v>
      </c>
      <c r="AJ83" s="6" t="s">
        <v>21</v>
      </c>
      <c r="AK83" s="6">
        <v>4</v>
      </c>
      <c r="AL83" s="6">
        <v>6</v>
      </c>
      <c r="AM83" s="6">
        <v>7</v>
      </c>
      <c r="AN83" s="6">
        <v>8</v>
      </c>
      <c r="AO83" s="6" t="s">
        <v>21</v>
      </c>
      <c r="AP83" s="6" t="s">
        <v>21</v>
      </c>
      <c r="AQ83" s="6" t="s">
        <v>21</v>
      </c>
      <c r="AR83" s="6" t="s">
        <v>21</v>
      </c>
      <c r="AS83" s="6" t="s">
        <v>21</v>
      </c>
    </row>
    <row r="84" spans="13:45" x14ac:dyDescent="0.25">
      <c r="M84" s="59">
        <v>22</v>
      </c>
      <c r="N84" s="53">
        <v>12</v>
      </c>
      <c r="O84" s="53" t="s">
        <v>21</v>
      </c>
      <c r="P84" s="53" t="s">
        <v>21</v>
      </c>
      <c r="Q84" s="53" t="s">
        <v>21</v>
      </c>
      <c r="R84" s="53" t="s">
        <v>21</v>
      </c>
      <c r="S84" s="53" t="s">
        <v>21</v>
      </c>
      <c r="T84" s="53">
        <v>1</v>
      </c>
      <c r="U84" s="53">
        <v>3</v>
      </c>
      <c r="V84" s="53" t="s">
        <v>21</v>
      </c>
      <c r="W84" s="53" t="s">
        <v>21</v>
      </c>
      <c r="X84" s="53" t="s">
        <v>21</v>
      </c>
      <c r="Y84" s="53" t="s">
        <v>21</v>
      </c>
      <c r="Z84" s="53" t="s">
        <v>21</v>
      </c>
      <c r="AA84" s="53" t="s">
        <v>21</v>
      </c>
      <c r="AB84" s="53" t="s">
        <v>21</v>
      </c>
      <c r="AD84" s="53">
        <v>22</v>
      </c>
      <c r="AE84" s="6">
        <v>12</v>
      </c>
      <c r="AF84" s="6" t="s">
        <v>21</v>
      </c>
      <c r="AG84" s="6" t="s">
        <v>21</v>
      </c>
      <c r="AH84" s="6" t="s">
        <v>21</v>
      </c>
      <c r="AI84" s="6" t="s">
        <v>21</v>
      </c>
      <c r="AJ84" s="6" t="s">
        <v>21</v>
      </c>
      <c r="AK84" s="6">
        <v>1</v>
      </c>
      <c r="AL84" s="6">
        <v>3</v>
      </c>
      <c r="AM84" s="6">
        <v>8</v>
      </c>
      <c r="AN84" s="6" t="s">
        <v>21</v>
      </c>
      <c r="AO84" s="6" t="s">
        <v>21</v>
      </c>
      <c r="AP84" s="6" t="s">
        <v>21</v>
      </c>
      <c r="AQ84" s="6" t="s">
        <v>21</v>
      </c>
      <c r="AR84" s="6" t="s">
        <v>21</v>
      </c>
      <c r="AS84" s="6" t="s">
        <v>21</v>
      </c>
    </row>
    <row r="85" spans="13:45" x14ac:dyDescent="0.25">
      <c r="M85" s="59">
        <v>23</v>
      </c>
      <c r="N85" s="53">
        <v>9</v>
      </c>
      <c r="O85" s="53">
        <v>11</v>
      </c>
      <c r="P85" s="53">
        <v>15</v>
      </c>
      <c r="Q85" s="53" t="s">
        <v>21</v>
      </c>
      <c r="R85" s="53" t="s">
        <v>21</v>
      </c>
      <c r="S85" s="53" t="s">
        <v>21</v>
      </c>
      <c r="T85" s="53">
        <v>1</v>
      </c>
      <c r="U85" s="53">
        <v>2</v>
      </c>
      <c r="V85" s="53">
        <v>4</v>
      </c>
      <c r="W85" s="53">
        <v>6</v>
      </c>
      <c r="X85" s="53">
        <v>8</v>
      </c>
      <c r="Y85" s="53" t="s">
        <v>21</v>
      </c>
      <c r="Z85" s="53" t="s">
        <v>21</v>
      </c>
      <c r="AA85" s="53" t="s">
        <v>21</v>
      </c>
      <c r="AB85" s="53" t="s">
        <v>21</v>
      </c>
      <c r="AD85" s="53">
        <v>23</v>
      </c>
      <c r="AE85" s="6">
        <v>9</v>
      </c>
      <c r="AF85" s="6">
        <v>11</v>
      </c>
      <c r="AG85" s="6">
        <v>15</v>
      </c>
      <c r="AH85" s="6" t="s">
        <v>21</v>
      </c>
      <c r="AI85" s="6" t="s">
        <v>21</v>
      </c>
      <c r="AJ85" s="6" t="s">
        <v>21</v>
      </c>
      <c r="AK85" s="6">
        <v>1</v>
      </c>
      <c r="AL85" s="6">
        <v>2</v>
      </c>
      <c r="AM85" s="6">
        <v>4</v>
      </c>
      <c r="AN85" s="6">
        <v>6</v>
      </c>
      <c r="AO85" s="6" t="s">
        <v>21</v>
      </c>
      <c r="AP85" s="6" t="s">
        <v>21</v>
      </c>
      <c r="AQ85" s="6" t="s">
        <v>21</v>
      </c>
      <c r="AR85" s="6" t="s">
        <v>21</v>
      </c>
      <c r="AS85" s="6" t="s">
        <v>21</v>
      </c>
    </row>
    <row r="86" spans="13:45" x14ac:dyDescent="0.25">
      <c r="M86" s="59">
        <v>27</v>
      </c>
      <c r="N86" s="53">
        <v>11</v>
      </c>
      <c r="O86" s="53">
        <v>18</v>
      </c>
      <c r="P86" s="53">
        <v>19</v>
      </c>
      <c r="Q86" s="53">
        <v>23</v>
      </c>
      <c r="R86" s="53" t="s">
        <v>21</v>
      </c>
      <c r="S86" s="53" t="s">
        <v>21</v>
      </c>
      <c r="T86" s="53">
        <v>2</v>
      </c>
      <c r="U86" s="53">
        <v>9</v>
      </c>
      <c r="V86" s="53">
        <v>10</v>
      </c>
      <c r="W86" s="53">
        <v>12</v>
      </c>
      <c r="X86" s="53">
        <v>15</v>
      </c>
      <c r="Y86" s="53">
        <v>16</v>
      </c>
      <c r="Z86" s="53" t="s">
        <v>21</v>
      </c>
      <c r="AA86" s="53" t="s">
        <v>21</v>
      </c>
      <c r="AB86" s="53" t="s">
        <v>21</v>
      </c>
      <c r="AD86" s="53">
        <v>27</v>
      </c>
      <c r="AE86" s="6">
        <v>9</v>
      </c>
      <c r="AF86" s="6">
        <v>11</v>
      </c>
      <c r="AG86" s="6">
        <v>18</v>
      </c>
      <c r="AH86" s="6">
        <v>19</v>
      </c>
      <c r="AI86" s="6">
        <v>23</v>
      </c>
      <c r="AJ86" s="6" t="s">
        <v>21</v>
      </c>
      <c r="AK86" s="6">
        <v>2</v>
      </c>
      <c r="AL86" s="6">
        <v>10</v>
      </c>
      <c r="AM86" s="6">
        <v>12</v>
      </c>
      <c r="AN86" s="6" t="s">
        <v>21</v>
      </c>
      <c r="AO86" s="6" t="s">
        <v>21</v>
      </c>
      <c r="AP86" s="6" t="s">
        <v>21</v>
      </c>
      <c r="AQ86" s="6" t="s">
        <v>21</v>
      </c>
      <c r="AR86" s="6" t="s">
        <v>21</v>
      </c>
      <c r="AS86" s="6" t="s">
        <v>21</v>
      </c>
    </row>
    <row r="87" spans="13:45" x14ac:dyDescent="0.25">
      <c r="M87" s="59">
        <v>32</v>
      </c>
      <c r="N87" s="53">
        <v>12</v>
      </c>
      <c r="O87" s="53">
        <v>13</v>
      </c>
      <c r="P87" s="53" t="s">
        <v>21</v>
      </c>
      <c r="Q87" s="53" t="s">
        <v>21</v>
      </c>
      <c r="R87" s="53" t="s">
        <v>21</v>
      </c>
      <c r="S87" s="53" t="s">
        <v>21</v>
      </c>
      <c r="T87" s="53">
        <v>1</v>
      </c>
      <c r="U87" s="53">
        <v>3</v>
      </c>
      <c r="V87" s="53">
        <v>4</v>
      </c>
      <c r="W87" s="53" t="s">
        <v>21</v>
      </c>
      <c r="X87" s="53" t="s">
        <v>21</v>
      </c>
      <c r="Y87" s="53" t="s">
        <v>21</v>
      </c>
      <c r="Z87" s="53" t="s">
        <v>21</v>
      </c>
      <c r="AA87" s="53" t="s">
        <v>21</v>
      </c>
      <c r="AB87" s="53" t="s">
        <v>21</v>
      </c>
      <c r="AD87" s="53">
        <v>32</v>
      </c>
      <c r="AE87" s="6">
        <v>12</v>
      </c>
      <c r="AF87" s="6">
        <v>13</v>
      </c>
      <c r="AG87" s="6">
        <v>22</v>
      </c>
      <c r="AH87" s="6" t="s">
        <v>21</v>
      </c>
      <c r="AI87" s="6" t="s">
        <v>21</v>
      </c>
      <c r="AJ87" s="6" t="s">
        <v>21</v>
      </c>
      <c r="AK87" s="6">
        <v>1</v>
      </c>
      <c r="AL87" s="6">
        <v>3</v>
      </c>
      <c r="AM87" s="6">
        <v>4</v>
      </c>
      <c r="AN87" s="6" t="s">
        <v>21</v>
      </c>
      <c r="AO87" s="6" t="s">
        <v>21</v>
      </c>
      <c r="AP87" s="6" t="s">
        <v>21</v>
      </c>
      <c r="AQ87" s="6" t="s">
        <v>21</v>
      </c>
      <c r="AR87" s="6" t="s">
        <v>21</v>
      </c>
      <c r="AS87" s="6" t="s">
        <v>21</v>
      </c>
    </row>
    <row r="88" spans="13:45" x14ac:dyDescent="0.25">
      <c r="M88" s="59">
        <v>34</v>
      </c>
      <c r="N88" s="53">
        <v>9</v>
      </c>
      <c r="O88" s="53">
        <v>11</v>
      </c>
      <c r="P88" s="53">
        <v>21</v>
      </c>
      <c r="Q88" s="53" t="s">
        <v>21</v>
      </c>
      <c r="R88" s="53" t="s">
        <v>21</v>
      </c>
      <c r="S88" s="53" t="s">
        <v>21</v>
      </c>
      <c r="T88" s="53">
        <v>2</v>
      </c>
      <c r="U88" s="53" t="s">
        <v>21</v>
      </c>
      <c r="V88" s="53" t="s">
        <v>21</v>
      </c>
      <c r="W88" s="53" t="s">
        <v>21</v>
      </c>
      <c r="X88" s="53" t="s">
        <v>21</v>
      </c>
      <c r="Y88" s="53" t="s">
        <v>21</v>
      </c>
      <c r="Z88" s="53" t="s">
        <v>21</v>
      </c>
      <c r="AA88" s="53" t="s">
        <v>21</v>
      </c>
      <c r="AB88" s="53" t="s">
        <v>21</v>
      </c>
      <c r="AD88" s="53">
        <v>34</v>
      </c>
      <c r="AE88" s="6">
        <v>27</v>
      </c>
      <c r="AF88" s="6">
        <v>29</v>
      </c>
      <c r="AG88" s="6" t="s">
        <v>21</v>
      </c>
      <c r="AH88" s="6" t="s">
        <v>21</v>
      </c>
      <c r="AI88" s="6" t="s">
        <v>21</v>
      </c>
      <c r="AJ88" s="6" t="s">
        <v>21</v>
      </c>
      <c r="AK88" s="6">
        <v>9</v>
      </c>
      <c r="AL88" s="6">
        <v>10</v>
      </c>
      <c r="AM88" s="6">
        <v>11</v>
      </c>
      <c r="AN88" s="6">
        <v>21</v>
      </c>
      <c r="AO88" s="6" t="s">
        <v>21</v>
      </c>
      <c r="AP88" s="6" t="s">
        <v>21</v>
      </c>
      <c r="AQ88" s="6" t="s">
        <v>21</v>
      </c>
      <c r="AR88" s="6" t="s">
        <v>21</v>
      </c>
      <c r="AS88" s="6" t="s">
        <v>21</v>
      </c>
    </row>
    <row r="89" spans="13:45" x14ac:dyDescent="0.25">
      <c r="M89" s="59">
        <v>35</v>
      </c>
      <c r="N89" s="53">
        <v>28</v>
      </c>
      <c r="O89" s="53">
        <v>30</v>
      </c>
      <c r="P89" s="53" t="s">
        <v>21</v>
      </c>
      <c r="Q89" s="53" t="s">
        <v>21</v>
      </c>
      <c r="R89" s="53" t="s">
        <v>21</v>
      </c>
      <c r="S89" s="53" t="s">
        <v>21</v>
      </c>
      <c r="T89" s="53">
        <v>17</v>
      </c>
      <c r="U89" s="53" t="s">
        <v>21</v>
      </c>
      <c r="V89" s="53" t="s">
        <v>21</v>
      </c>
      <c r="W89" s="53" t="s">
        <v>21</v>
      </c>
      <c r="X89" s="53" t="s">
        <v>21</v>
      </c>
      <c r="Y89" s="53" t="s">
        <v>21</v>
      </c>
      <c r="Z89" s="53" t="s">
        <v>21</v>
      </c>
      <c r="AA89" s="53" t="s">
        <v>21</v>
      </c>
      <c r="AB89" s="53" t="s">
        <v>21</v>
      </c>
      <c r="AD89" s="53">
        <v>35</v>
      </c>
      <c r="AE89" s="6">
        <v>28</v>
      </c>
      <c r="AF89" s="6" t="s">
        <v>21</v>
      </c>
      <c r="AG89" s="6" t="s">
        <v>21</v>
      </c>
      <c r="AH89" s="6" t="s">
        <v>21</v>
      </c>
      <c r="AI89" s="6" t="s">
        <v>21</v>
      </c>
      <c r="AJ89" s="6" t="s">
        <v>21</v>
      </c>
      <c r="AK89" s="6">
        <v>13</v>
      </c>
      <c r="AL89" s="6">
        <v>17</v>
      </c>
      <c r="AM89" s="6" t="s">
        <v>21</v>
      </c>
      <c r="AN89" s="6" t="s">
        <v>21</v>
      </c>
      <c r="AO89" s="6" t="s">
        <v>21</v>
      </c>
      <c r="AP89" s="6" t="s">
        <v>21</v>
      </c>
      <c r="AQ89" s="6" t="s">
        <v>21</v>
      </c>
      <c r="AR89" s="6" t="s">
        <v>21</v>
      </c>
      <c r="AS89" s="6" t="s">
        <v>21</v>
      </c>
    </row>
    <row r="90" spans="13:45" x14ac:dyDescent="0.25">
      <c r="M90" s="59">
        <v>36</v>
      </c>
      <c r="N90" s="53">
        <v>30</v>
      </c>
      <c r="O90" s="53">
        <v>31</v>
      </c>
      <c r="P90" s="53">
        <v>32</v>
      </c>
      <c r="Q90" s="53" t="s">
        <v>21</v>
      </c>
      <c r="R90" s="53" t="s">
        <v>21</v>
      </c>
      <c r="S90" s="53" t="s">
        <v>21</v>
      </c>
      <c r="T90" s="53">
        <v>17</v>
      </c>
      <c r="U90" s="53" t="s">
        <v>21</v>
      </c>
      <c r="V90" s="53" t="s">
        <v>21</v>
      </c>
      <c r="W90" s="53" t="s">
        <v>21</v>
      </c>
      <c r="X90" s="53" t="s">
        <v>21</v>
      </c>
      <c r="Y90" s="53" t="s">
        <v>21</v>
      </c>
      <c r="Z90" s="53" t="s">
        <v>21</v>
      </c>
      <c r="AA90" s="53" t="s">
        <v>21</v>
      </c>
      <c r="AB90" s="53" t="s">
        <v>21</v>
      </c>
      <c r="AD90" s="53">
        <v>36</v>
      </c>
      <c r="AE90" s="6">
        <v>20</v>
      </c>
      <c r="AF90" s="6">
        <v>28</v>
      </c>
      <c r="AG90" s="6">
        <v>30</v>
      </c>
      <c r="AH90" s="6">
        <v>31</v>
      </c>
      <c r="AI90" s="6">
        <v>32</v>
      </c>
      <c r="AJ90" s="6" t="s">
        <v>21</v>
      </c>
      <c r="AK90" s="6">
        <v>10</v>
      </c>
      <c r="AL90" s="6">
        <v>14</v>
      </c>
      <c r="AM90" s="6">
        <v>17</v>
      </c>
      <c r="AN90" s="6" t="s">
        <v>21</v>
      </c>
      <c r="AO90" s="6" t="s">
        <v>21</v>
      </c>
      <c r="AP90" s="6" t="s">
        <v>21</v>
      </c>
      <c r="AQ90" s="6" t="s">
        <v>21</v>
      </c>
      <c r="AR90" s="6" t="s">
        <v>21</v>
      </c>
      <c r="AS90" s="6" t="s">
        <v>21</v>
      </c>
    </row>
    <row r="91" spans="13:45" x14ac:dyDescent="0.25">
      <c r="M91" s="59">
        <v>39</v>
      </c>
      <c r="N91" s="53">
        <v>27</v>
      </c>
      <c r="O91" s="53">
        <v>31</v>
      </c>
      <c r="P91" s="53" t="s">
        <v>21</v>
      </c>
      <c r="Q91" s="53" t="s">
        <v>21</v>
      </c>
      <c r="R91" s="53" t="s">
        <v>21</v>
      </c>
      <c r="S91" s="53" t="s">
        <v>21</v>
      </c>
      <c r="T91" s="53">
        <v>9</v>
      </c>
      <c r="U91" s="53">
        <v>11</v>
      </c>
      <c r="V91" s="53">
        <v>13</v>
      </c>
      <c r="W91" s="53">
        <v>18</v>
      </c>
      <c r="X91" s="53">
        <v>19</v>
      </c>
      <c r="Y91" s="53">
        <v>21</v>
      </c>
      <c r="Z91" s="53">
        <v>23</v>
      </c>
      <c r="AA91" s="53" t="s">
        <v>21</v>
      </c>
      <c r="AB91" s="53" t="s">
        <v>21</v>
      </c>
      <c r="AD91" s="53">
        <v>39</v>
      </c>
      <c r="AE91" s="6">
        <v>20</v>
      </c>
      <c r="AF91" s="6">
        <v>26</v>
      </c>
      <c r="AG91" s="6">
        <v>27</v>
      </c>
      <c r="AH91" s="6" t="s">
        <v>21</v>
      </c>
      <c r="AI91" s="6" t="s">
        <v>21</v>
      </c>
      <c r="AJ91" s="6" t="s">
        <v>21</v>
      </c>
      <c r="AK91" s="6">
        <v>11</v>
      </c>
      <c r="AL91" s="6">
        <v>13</v>
      </c>
      <c r="AM91" s="6">
        <v>18</v>
      </c>
      <c r="AN91" s="6">
        <v>19</v>
      </c>
      <c r="AO91" s="6" t="s">
        <v>21</v>
      </c>
      <c r="AP91" s="6" t="s">
        <v>21</v>
      </c>
      <c r="AQ91" s="6" t="s">
        <v>21</v>
      </c>
      <c r="AR91" s="6" t="s">
        <v>21</v>
      </c>
      <c r="AS91" s="6" t="s">
        <v>21</v>
      </c>
    </row>
    <row r="92" spans="13:45" x14ac:dyDescent="0.25">
      <c r="M92" s="59">
        <v>40</v>
      </c>
      <c r="N92" s="53">
        <v>27</v>
      </c>
      <c r="O92" s="53" t="s">
        <v>21</v>
      </c>
      <c r="P92" s="53" t="s">
        <v>21</v>
      </c>
      <c r="Q92" s="53" t="s">
        <v>21</v>
      </c>
      <c r="R92" s="53" t="s">
        <v>21</v>
      </c>
      <c r="S92" s="53" t="s">
        <v>21</v>
      </c>
      <c r="T92" s="53">
        <v>18</v>
      </c>
      <c r="U92" s="53">
        <v>19</v>
      </c>
      <c r="V92" s="53">
        <v>21</v>
      </c>
      <c r="W92" s="53">
        <v>22</v>
      </c>
      <c r="X92" s="53">
        <v>23</v>
      </c>
      <c r="Y92" s="53">
        <v>25</v>
      </c>
      <c r="Z92" s="53" t="s">
        <v>21</v>
      </c>
      <c r="AA92" s="53" t="s">
        <v>21</v>
      </c>
      <c r="AB92" s="53" t="s">
        <v>21</v>
      </c>
      <c r="AD92" s="53">
        <v>40</v>
      </c>
      <c r="AE92" s="6">
        <v>27</v>
      </c>
      <c r="AF92" s="6">
        <v>29</v>
      </c>
      <c r="AG92" s="6">
        <v>31</v>
      </c>
      <c r="AH92" s="6">
        <v>32</v>
      </c>
      <c r="AI92" s="6" t="s">
        <v>21</v>
      </c>
      <c r="AJ92" s="6" t="s">
        <v>21</v>
      </c>
      <c r="AK92" s="6">
        <v>18</v>
      </c>
      <c r="AL92" s="6">
        <v>19</v>
      </c>
      <c r="AM92" s="6">
        <v>20</v>
      </c>
      <c r="AN92" s="6">
        <v>21</v>
      </c>
      <c r="AO92" s="6" t="s">
        <v>21</v>
      </c>
      <c r="AP92" s="6" t="s">
        <v>21</v>
      </c>
      <c r="AQ92" s="6" t="s">
        <v>21</v>
      </c>
      <c r="AR92" s="6" t="s">
        <v>21</v>
      </c>
      <c r="AS92" s="6" t="s">
        <v>21</v>
      </c>
    </row>
    <row r="93" spans="13:45" x14ac:dyDescent="0.25">
      <c r="M93" s="59">
        <v>41</v>
      </c>
      <c r="N93" s="53">
        <v>27</v>
      </c>
      <c r="O93" s="53" t="s">
        <v>21</v>
      </c>
      <c r="P93" s="53" t="s">
        <v>21</v>
      </c>
      <c r="Q93" s="53" t="s">
        <v>21</v>
      </c>
      <c r="R93" s="53" t="s">
        <v>21</v>
      </c>
      <c r="S93" s="53" t="s">
        <v>21</v>
      </c>
      <c r="T93" s="53">
        <v>18</v>
      </c>
      <c r="U93" s="53">
        <v>19</v>
      </c>
      <c r="V93" s="53">
        <v>21</v>
      </c>
      <c r="W93" s="53">
        <v>22</v>
      </c>
      <c r="X93" s="53">
        <v>23</v>
      </c>
      <c r="Y93" s="53">
        <v>25</v>
      </c>
      <c r="Z93" s="53" t="s">
        <v>21</v>
      </c>
      <c r="AA93" s="53" t="s">
        <v>21</v>
      </c>
      <c r="AB93" s="53" t="s">
        <v>21</v>
      </c>
      <c r="AD93" s="6">
        <v>41</v>
      </c>
      <c r="AE93" s="6">
        <v>27</v>
      </c>
      <c r="AF93" s="6">
        <v>29</v>
      </c>
      <c r="AG93" s="6">
        <v>31</v>
      </c>
      <c r="AH93" s="6">
        <v>32</v>
      </c>
      <c r="AI93" s="6" t="s">
        <v>21</v>
      </c>
      <c r="AJ93" s="6" t="s">
        <v>21</v>
      </c>
      <c r="AK93" s="6">
        <v>18</v>
      </c>
      <c r="AL93" s="6">
        <v>19</v>
      </c>
      <c r="AM93" s="53">
        <v>20</v>
      </c>
      <c r="AN93" s="53">
        <v>21</v>
      </c>
      <c r="AO93" s="53" t="s">
        <v>21</v>
      </c>
      <c r="AP93" s="53" t="s">
        <v>21</v>
      </c>
      <c r="AQ93" s="53" t="s">
        <v>21</v>
      </c>
      <c r="AR93" s="53" t="s">
        <v>21</v>
      </c>
      <c r="AS93" s="53" t="s">
        <v>21</v>
      </c>
    </row>
    <row r="94" spans="13:45" x14ac:dyDescent="0.25">
      <c r="M94" s="59" t="s">
        <v>40</v>
      </c>
      <c r="N94" s="6">
        <v>26</v>
      </c>
      <c r="O94" s="6" t="s">
        <v>21</v>
      </c>
      <c r="P94" s="6" t="s">
        <v>21</v>
      </c>
      <c r="Q94" s="6" t="s">
        <v>21</v>
      </c>
      <c r="R94" s="6" t="s">
        <v>21</v>
      </c>
      <c r="S94" s="6" t="s">
        <v>21</v>
      </c>
      <c r="T94" s="6">
        <v>17</v>
      </c>
      <c r="U94" s="6">
        <v>18</v>
      </c>
      <c r="V94" s="6">
        <v>19</v>
      </c>
      <c r="W94" s="6">
        <v>20</v>
      </c>
      <c r="X94" s="6">
        <v>21</v>
      </c>
      <c r="Y94" s="6">
        <v>22</v>
      </c>
      <c r="Z94" s="6">
        <v>23</v>
      </c>
      <c r="AA94" s="6">
        <v>24</v>
      </c>
      <c r="AB94" s="6">
        <v>25</v>
      </c>
      <c r="AD94" s="53" t="s">
        <v>40</v>
      </c>
      <c r="AE94" s="53">
        <v>27</v>
      </c>
      <c r="AF94" s="53">
        <v>28</v>
      </c>
      <c r="AG94" s="53" t="s">
        <v>21</v>
      </c>
      <c r="AH94" s="53" t="s">
        <v>21</v>
      </c>
      <c r="AI94" s="53" t="s">
        <v>21</v>
      </c>
      <c r="AJ94" s="53" t="s">
        <v>21</v>
      </c>
      <c r="AK94" s="53">
        <v>17</v>
      </c>
      <c r="AL94" s="53">
        <v>18</v>
      </c>
      <c r="AM94" s="53">
        <v>19</v>
      </c>
      <c r="AN94" s="53">
        <v>20</v>
      </c>
      <c r="AO94" s="53">
        <v>21</v>
      </c>
      <c r="AP94" s="53">
        <v>22</v>
      </c>
      <c r="AQ94" s="53">
        <v>23</v>
      </c>
      <c r="AR94" s="53">
        <v>24</v>
      </c>
      <c r="AS94" s="53">
        <v>25</v>
      </c>
    </row>
    <row r="95" spans="13:45" x14ac:dyDescent="0.25">
      <c r="M95" s="53" t="s">
        <v>41</v>
      </c>
      <c r="N95" s="6">
        <v>26</v>
      </c>
      <c r="O95" s="6" t="s">
        <v>21</v>
      </c>
      <c r="P95" s="6" t="s">
        <v>21</v>
      </c>
      <c r="Q95" s="6" t="s">
        <v>21</v>
      </c>
      <c r="R95" s="6" t="s">
        <v>21</v>
      </c>
      <c r="S95" s="6" t="s">
        <v>21</v>
      </c>
      <c r="T95" s="6">
        <v>17</v>
      </c>
      <c r="U95" s="6">
        <v>18</v>
      </c>
      <c r="V95" s="6">
        <v>19</v>
      </c>
      <c r="W95" s="6">
        <v>20</v>
      </c>
      <c r="X95" s="6">
        <v>21</v>
      </c>
      <c r="Y95" s="6">
        <v>22</v>
      </c>
      <c r="Z95" s="6">
        <v>23</v>
      </c>
      <c r="AA95" s="6">
        <v>24</v>
      </c>
      <c r="AB95" s="6">
        <v>25</v>
      </c>
      <c r="AD95" s="53" t="s">
        <v>41</v>
      </c>
      <c r="AE95" s="53">
        <v>27</v>
      </c>
      <c r="AF95" s="53">
        <v>28</v>
      </c>
      <c r="AG95" s="53" t="s">
        <v>21</v>
      </c>
      <c r="AH95" s="53" t="s">
        <v>21</v>
      </c>
      <c r="AI95" s="53" t="s">
        <v>21</v>
      </c>
      <c r="AJ95" s="53" t="s">
        <v>21</v>
      </c>
      <c r="AK95" s="53">
        <v>17</v>
      </c>
      <c r="AL95" s="53">
        <v>18</v>
      </c>
      <c r="AM95" s="53">
        <v>19</v>
      </c>
      <c r="AN95" s="53">
        <v>20</v>
      </c>
      <c r="AO95" s="53">
        <v>21</v>
      </c>
      <c r="AP95" s="53">
        <v>22</v>
      </c>
      <c r="AQ95" s="53">
        <v>23</v>
      </c>
      <c r="AR95" s="53">
        <v>24</v>
      </c>
      <c r="AS95" s="53">
        <v>25</v>
      </c>
    </row>
    <row r="96" spans="13:45" x14ac:dyDescent="0.25">
      <c r="M96" s="53" t="s">
        <v>45</v>
      </c>
      <c r="N96" s="6">
        <v>27</v>
      </c>
      <c r="O96" s="6">
        <v>28</v>
      </c>
      <c r="P96" s="6" t="s">
        <v>21</v>
      </c>
      <c r="Q96" s="6" t="s">
        <v>21</v>
      </c>
      <c r="R96" s="6" t="s">
        <v>21</v>
      </c>
      <c r="S96" s="6" t="s">
        <v>21</v>
      </c>
      <c r="T96" s="6">
        <v>2</v>
      </c>
      <c r="U96" s="6">
        <v>9</v>
      </c>
      <c r="V96" s="6">
        <v>10</v>
      </c>
      <c r="W96" s="6">
        <v>11</v>
      </c>
      <c r="X96" s="6">
        <v>13</v>
      </c>
      <c r="Y96" s="6">
        <v>15</v>
      </c>
      <c r="Z96" s="6" t="s">
        <v>21</v>
      </c>
      <c r="AA96" s="6" t="s">
        <v>21</v>
      </c>
      <c r="AB96" s="6" t="s">
        <v>21</v>
      </c>
      <c r="AD96" s="53" t="s">
        <v>45</v>
      </c>
      <c r="AE96" s="53">
        <v>27</v>
      </c>
      <c r="AF96" s="53">
        <v>28</v>
      </c>
      <c r="AG96" s="53" t="s">
        <v>21</v>
      </c>
      <c r="AH96" s="53" t="s">
        <v>21</v>
      </c>
      <c r="AI96" s="53" t="s">
        <v>21</v>
      </c>
      <c r="AJ96" s="53" t="s">
        <v>21</v>
      </c>
      <c r="AK96" s="53">
        <v>17</v>
      </c>
      <c r="AL96" s="53">
        <v>18</v>
      </c>
      <c r="AM96" s="53">
        <v>19</v>
      </c>
      <c r="AN96" s="53">
        <v>21</v>
      </c>
      <c r="AO96" s="53">
        <v>22</v>
      </c>
      <c r="AP96" s="53">
        <v>23</v>
      </c>
      <c r="AQ96" s="53">
        <v>24</v>
      </c>
      <c r="AR96" s="53">
        <v>25</v>
      </c>
      <c r="AS96" s="53" t="s">
        <v>21</v>
      </c>
    </row>
    <row r="97" spans="13:64" x14ac:dyDescent="0.25">
      <c r="M97" s="53" t="s">
        <v>35</v>
      </c>
      <c r="N97" s="6">
        <v>27</v>
      </c>
      <c r="O97" s="6">
        <v>28</v>
      </c>
      <c r="P97" s="6" t="s">
        <v>21</v>
      </c>
      <c r="Q97" s="6" t="s">
        <v>21</v>
      </c>
      <c r="R97" s="6" t="s">
        <v>21</v>
      </c>
      <c r="S97" s="6" t="s">
        <v>21</v>
      </c>
      <c r="T97" s="6">
        <v>2</v>
      </c>
      <c r="U97" s="6">
        <v>9</v>
      </c>
      <c r="V97" s="6">
        <v>10</v>
      </c>
      <c r="W97" s="6">
        <v>11</v>
      </c>
      <c r="X97" s="6">
        <v>13</v>
      </c>
      <c r="Y97" s="6">
        <v>15</v>
      </c>
      <c r="Z97" s="6" t="s">
        <v>21</v>
      </c>
      <c r="AA97" s="6" t="s">
        <v>21</v>
      </c>
      <c r="AB97" s="6" t="s">
        <v>21</v>
      </c>
      <c r="AD97" s="53" t="s">
        <v>35</v>
      </c>
      <c r="AE97" s="53">
        <v>27</v>
      </c>
      <c r="AF97" s="53">
        <v>28</v>
      </c>
      <c r="AG97" s="53" t="s">
        <v>21</v>
      </c>
      <c r="AH97" s="53" t="s">
        <v>21</v>
      </c>
      <c r="AI97" s="53" t="s">
        <v>21</v>
      </c>
      <c r="AJ97" s="53" t="s">
        <v>21</v>
      </c>
      <c r="AK97" s="53">
        <v>2</v>
      </c>
      <c r="AL97" s="53">
        <v>9</v>
      </c>
      <c r="AM97" s="53">
        <v>10</v>
      </c>
      <c r="AN97" s="53" t="s">
        <v>21</v>
      </c>
      <c r="AO97" s="53" t="s">
        <v>21</v>
      </c>
      <c r="AP97" s="53" t="s">
        <v>21</v>
      </c>
      <c r="AQ97" s="53" t="s">
        <v>21</v>
      </c>
      <c r="AR97" s="53" t="s">
        <v>21</v>
      </c>
      <c r="AS97" s="53" t="s">
        <v>21</v>
      </c>
    </row>
    <row r="98" spans="13:64" x14ac:dyDescent="0.25">
      <c r="M98" s="53" t="s">
        <v>36</v>
      </c>
      <c r="N98" s="6">
        <v>17</v>
      </c>
      <c r="O98" s="6">
        <v>28</v>
      </c>
      <c r="P98" s="6">
        <v>30</v>
      </c>
      <c r="Q98" s="6" t="s">
        <v>21</v>
      </c>
      <c r="R98" s="6" t="s">
        <v>21</v>
      </c>
      <c r="S98" s="6" t="s">
        <v>21</v>
      </c>
      <c r="T98" s="6">
        <v>4</v>
      </c>
      <c r="U98" s="6">
        <v>13</v>
      </c>
      <c r="V98" s="6" t="s">
        <v>21</v>
      </c>
      <c r="W98" s="6" t="s">
        <v>21</v>
      </c>
      <c r="X98" s="6" t="s">
        <v>21</v>
      </c>
      <c r="Y98" s="6" t="s">
        <v>21</v>
      </c>
      <c r="Z98" s="6" t="s">
        <v>21</v>
      </c>
      <c r="AA98" s="6" t="s">
        <v>21</v>
      </c>
      <c r="AB98" s="6" t="s">
        <v>21</v>
      </c>
      <c r="AD98" s="53" t="s">
        <v>36</v>
      </c>
      <c r="AE98" s="53">
        <v>27</v>
      </c>
      <c r="AF98" s="53">
        <v>28</v>
      </c>
      <c r="AG98" s="53" t="s">
        <v>21</v>
      </c>
      <c r="AH98" s="53" t="s">
        <v>21</v>
      </c>
      <c r="AI98" s="53" t="s">
        <v>21</v>
      </c>
      <c r="AJ98" s="53" t="s">
        <v>21</v>
      </c>
      <c r="AK98" s="53">
        <v>11</v>
      </c>
      <c r="AL98" s="53">
        <v>18</v>
      </c>
      <c r="AM98" s="53">
        <v>19</v>
      </c>
      <c r="AN98" s="53">
        <v>20</v>
      </c>
      <c r="AO98" s="53">
        <v>21</v>
      </c>
      <c r="AP98" s="53">
        <v>22</v>
      </c>
      <c r="AQ98" s="53">
        <v>23</v>
      </c>
      <c r="AR98" s="53">
        <v>24</v>
      </c>
      <c r="AS98" s="53">
        <v>25</v>
      </c>
    </row>
    <row r="99" spans="13:64" x14ac:dyDescent="0.25">
      <c r="M99" s="59" t="s">
        <v>37</v>
      </c>
      <c r="N99" s="6">
        <v>27</v>
      </c>
      <c r="O99" s="6" t="s">
        <v>21</v>
      </c>
      <c r="P99" s="6" t="s">
        <v>21</v>
      </c>
      <c r="Q99" s="6" t="s">
        <v>21</v>
      </c>
      <c r="R99" s="6" t="s">
        <v>21</v>
      </c>
      <c r="S99" s="6" t="s">
        <v>21</v>
      </c>
      <c r="T99" s="6">
        <v>21</v>
      </c>
      <c r="U99" s="6">
        <v>24</v>
      </c>
      <c r="V99" s="6" t="s">
        <v>21</v>
      </c>
      <c r="W99" s="6" t="s">
        <v>21</v>
      </c>
      <c r="X99" s="6" t="s">
        <v>21</v>
      </c>
      <c r="Y99" s="6" t="s">
        <v>21</v>
      </c>
      <c r="Z99" s="6" t="s">
        <v>21</v>
      </c>
      <c r="AA99" s="6" t="s">
        <v>21</v>
      </c>
      <c r="AB99" s="6" t="s">
        <v>21</v>
      </c>
      <c r="AD99" s="53" t="s">
        <v>37</v>
      </c>
      <c r="AE99" s="53">
        <v>27</v>
      </c>
      <c r="AF99" s="53">
        <v>28</v>
      </c>
      <c r="AG99" s="53">
        <v>33</v>
      </c>
      <c r="AH99" s="53" t="s">
        <v>21</v>
      </c>
      <c r="AI99" s="53" t="s">
        <v>21</v>
      </c>
      <c r="AJ99" s="53" t="s">
        <v>21</v>
      </c>
      <c r="AK99" s="53">
        <v>19</v>
      </c>
      <c r="AL99" s="53">
        <v>22</v>
      </c>
      <c r="AM99" s="53" t="s">
        <v>21</v>
      </c>
      <c r="AN99" s="53" t="s">
        <v>21</v>
      </c>
      <c r="AO99" s="53" t="s">
        <v>21</v>
      </c>
      <c r="AP99" s="53" t="s">
        <v>21</v>
      </c>
      <c r="AQ99" s="53" t="s">
        <v>21</v>
      </c>
      <c r="AR99" s="53" t="s">
        <v>21</v>
      </c>
      <c r="AS99" s="53" t="s">
        <v>21</v>
      </c>
    </row>
    <row r="100" spans="13:64" x14ac:dyDescent="0.25">
      <c r="M100" s="59" t="s">
        <v>38</v>
      </c>
      <c r="N100" s="6">
        <v>26</v>
      </c>
      <c r="O100" s="6" t="s">
        <v>21</v>
      </c>
      <c r="P100" s="6" t="s">
        <v>21</v>
      </c>
      <c r="Q100" s="6" t="s">
        <v>21</v>
      </c>
      <c r="R100" s="6" t="s">
        <v>21</v>
      </c>
      <c r="S100" s="6" t="s">
        <v>21</v>
      </c>
      <c r="T100" s="6">
        <v>17</v>
      </c>
      <c r="U100" s="6">
        <v>18</v>
      </c>
      <c r="V100" s="6">
        <v>19</v>
      </c>
      <c r="W100" s="6">
        <v>20</v>
      </c>
      <c r="X100" s="6">
        <v>21</v>
      </c>
      <c r="Y100" s="6">
        <v>22</v>
      </c>
      <c r="Z100" s="6">
        <v>23</v>
      </c>
      <c r="AA100" s="6">
        <v>24</v>
      </c>
      <c r="AB100" s="6">
        <v>25</v>
      </c>
      <c r="AD100" s="53" t="s">
        <v>38</v>
      </c>
      <c r="AE100" s="53">
        <v>27</v>
      </c>
      <c r="AF100" s="53">
        <v>28</v>
      </c>
      <c r="AG100" s="53" t="s">
        <v>21</v>
      </c>
      <c r="AH100" s="53" t="s">
        <v>21</v>
      </c>
      <c r="AI100" s="53" t="s">
        <v>21</v>
      </c>
      <c r="AJ100" s="53" t="s">
        <v>21</v>
      </c>
      <c r="AK100" s="53">
        <v>17</v>
      </c>
      <c r="AL100" s="53">
        <v>18</v>
      </c>
      <c r="AM100" s="53">
        <v>19</v>
      </c>
      <c r="AN100" s="53">
        <v>20</v>
      </c>
      <c r="AO100" s="53">
        <v>21</v>
      </c>
      <c r="AP100" s="53">
        <v>22</v>
      </c>
      <c r="AQ100" s="53">
        <v>23</v>
      </c>
      <c r="AR100" s="53">
        <v>24</v>
      </c>
      <c r="AS100" s="53">
        <v>25</v>
      </c>
    </row>
    <row r="101" spans="13:64" x14ac:dyDescent="0.25">
      <c r="M101" s="59" t="s">
        <v>39</v>
      </c>
      <c r="N101" s="6">
        <v>26</v>
      </c>
      <c r="O101" s="6" t="s">
        <v>21</v>
      </c>
      <c r="P101" s="6" t="s">
        <v>21</v>
      </c>
      <c r="Q101" s="6" t="s">
        <v>21</v>
      </c>
      <c r="R101" s="6" t="s">
        <v>21</v>
      </c>
      <c r="S101" s="6" t="s">
        <v>21</v>
      </c>
      <c r="T101" s="6">
        <v>17</v>
      </c>
      <c r="U101" s="6">
        <v>18</v>
      </c>
      <c r="V101" s="6">
        <v>19</v>
      </c>
      <c r="W101" s="6">
        <v>20</v>
      </c>
      <c r="X101" s="6">
        <v>21</v>
      </c>
      <c r="Y101" s="6">
        <v>22</v>
      </c>
      <c r="Z101" s="6">
        <v>23</v>
      </c>
      <c r="AA101" s="6">
        <v>24</v>
      </c>
      <c r="AB101" s="6">
        <v>25</v>
      </c>
      <c r="AD101" s="53" t="s">
        <v>39</v>
      </c>
      <c r="AE101" s="53">
        <v>27</v>
      </c>
      <c r="AF101" s="53">
        <v>28</v>
      </c>
      <c r="AG101" s="53" t="s">
        <v>21</v>
      </c>
      <c r="AH101" s="53" t="s">
        <v>21</v>
      </c>
      <c r="AI101" s="53" t="s">
        <v>21</v>
      </c>
      <c r="AJ101" s="53" t="s">
        <v>21</v>
      </c>
      <c r="AK101" s="53">
        <v>17</v>
      </c>
      <c r="AL101" s="53">
        <v>18</v>
      </c>
      <c r="AM101" s="53">
        <v>19</v>
      </c>
      <c r="AN101" s="53">
        <v>20</v>
      </c>
      <c r="AO101" s="53">
        <v>21</v>
      </c>
      <c r="AP101" s="53">
        <v>22</v>
      </c>
      <c r="AQ101" s="53">
        <v>23</v>
      </c>
      <c r="AR101" s="53">
        <v>24</v>
      </c>
      <c r="AS101" s="53">
        <v>25</v>
      </c>
    </row>
    <row r="102" spans="13:64" x14ac:dyDescent="0.25">
      <c r="M102" s="239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</row>
    <row r="103" spans="13:64" x14ac:dyDescent="0.25">
      <c r="M103" s="239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</row>
    <row r="104" spans="13:64" x14ac:dyDescent="0.25">
      <c r="M104" t="s">
        <v>101</v>
      </c>
    </row>
    <row r="105" spans="13:64" ht="15.75" thickBot="1" x14ac:dyDescent="0.3">
      <c r="M105" s="240" t="s">
        <v>70</v>
      </c>
      <c r="N105" s="241" t="s">
        <v>61</v>
      </c>
      <c r="O105" s="241" t="s">
        <v>55</v>
      </c>
      <c r="P105" s="241" t="s">
        <v>56</v>
      </c>
      <c r="Q105" s="241" t="s">
        <v>57</v>
      </c>
      <c r="R105" s="241" t="s">
        <v>103</v>
      </c>
      <c r="S105" s="241" t="s">
        <v>104</v>
      </c>
      <c r="T105" s="241" t="s">
        <v>62</v>
      </c>
      <c r="U105" s="242" t="s">
        <v>58</v>
      </c>
      <c r="V105" s="241" t="s">
        <v>59</v>
      </c>
      <c r="W105" s="241" t="s">
        <v>60</v>
      </c>
      <c r="X105" s="241" t="s">
        <v>105</v>
      </c>
      <c r="Y105" s="241" t="s">
        <v>106</v>
      </c>
      <c r="Z105" s="241" t="s">
        <v>107</v>
      </c>
      <c r="AA105" s="241" t="s">
        <v>108</v>
      </c>
      <c r="AB105" s="241" t="s">
        <v>109</v>
      </c>
    </row>
    <row r="106" spans="13:64" ht="15.75" thickTop="1" x14ac:dyDescent="0.25">
      <c r="M106" s="6">
        <v>1</v>
      </c>
      <c r="N106" s="6" t="s">
        <v>21</v>
      </c>
      <c r="O106" s="6" t="s">
        <v>21</v>
      </c>
      <c r="P106" s="6" t="s">
        <v>21</v>
      </c>
      <c r="Q106" s="6" t="s">
        <v>21</v>
      </c>
      <c r="R106" s="6" t="s">
        <v>21</v>
      </c>
      <c r="S106" s="6" t="s">
        <v>21</v>
      </c>
      <c r="T106" s="6" t="s">
        <v>21</v>
      </c>
      <c r="U106" s="6" t="s">
        <v>21</v>
      </c>
      <c r="V106" s="53" t="s">
        <v>21</v>
      </c>
      <c r="W106" s="53" t="s">
        <v>21</v>
      </c>
      <c r="X106" s="53" t="s">
        <v>21</v>
      </c>
      <c r="Y106" s="53" t="s">
        <v>21</v>
      </c>
      <c r="Z106" s="53" t="s">
        <v>21</v>
      </c>
      <c r="AA106" s="53" t="s">
        <v>21</v>
      </c>
      <c r="AB106" s="53" t="s">
        <v>21</v>
      </c>
      <c r="AT106" s="53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</row>
    <row r="107" spans="13:64" x14ac:dyDescent="0.25">
      <c r="M107" s="6">
        <v>2</v>
      </c>
      <c r="N107" s="6" t="s">
        <v>21</v>
      </c>
      <c r="O107" s="6" t="s">
        <v>21</v>
      </c>
      <c r="P107" s="6" t="s">
        <v>21</v>
      </c>
      <c r="Q107" s="6" t="s">
        <v>21</v>
      </c>
      <c r="R107" s="6" t="s">
        <v>21</v>
      </c>
      <c r="S107" s="6" t="s">
        <v>21</v>
      </c>
      <c r="T107" s="6" t="s">
        <v>21</v>
      </c>
      <c r="U107" s="6" t="s">
        <v>21</v>
      </c>
      <c r="V107" s="53" t="s">
        <v>21</v>
      </c>
      <c r="W107" s="53" t="s">
        <v>21</v>
      </c>
      <c r="X107" s="53" t="s">
        <v>21</v>
      </c>
      <c r="Y107" s="53" t="s">
        <v>21</v>
      </c>
      <c r="Z107" s="53" t="s">
        <v>21</v>
      </c>
      <c r="AA107" s="53" t="s">
        <v>21</v>
      </c>
      <c r="AB107" s="53" t="s">
        <v>21</v>
      </c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</row>
    <row r="108" spans="13:64" x14ac:dyDescent="0.25">
      <c r="M108" s="6">
        <v>3</v>
      </c>
      <c r="N108" s="6" t="s">
        <v>21</v>
      </c>
      <c r="O108" s="6" t="s">
        <v>21</v>
      </c>
      <c r="P108" s="6" t="s">
        <v>21</v>
      </c>
      <c r="Q108" s="6" t="s">
        <v>21</v>
      </c>
      <c r="R108" s="6" t="s">
        <v>21</v>
      </c>
      <c r="S108" s="6" t="s">
        <v>21</v>
      </c>
      <c r="T108" s="6" t="s">
        <v>21</v>
      </c>
      <c r="U108" s="6" t="s">
        <v>21</v>
      </c>
      <c r="V108" s="53" t="s">
        <v>21</v>
      </c>
      <c r="W108" s="53" t="s">
        <v>21</v>
      </c>
      <c r="X108" s="53" t="s">
        <v>21</v>
      </c>
      <c r="Y108" s="53" t="s">
        <v>21</v>
      </c>
      <c r="Z108" s="53" t="s">
        <v>21</v>
      </c>
      <c r="AA108" s="53" t="s">
        <v>21</v>
      </c>
      <c r="AB108" s="53" t="s">
        <v>21</v>
      </c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</row>
    <row r="109" spans="13:64" x14ac:dyDescent="0.25">
      <c r="M109" s="6">
        <v>4</v>
      </c>
      <c r="N109" s="6" t="s">
        <v>21</v>
      </c>
      <c r="O109" s="6" t="s">
        <v>21</v>
      </c>
      <c r="P109" s="6" t="s">
        <v>21</v>
      </c>
      <c r="Q109" s="6" t="s">
        <v>21</v>
      </c>
      <c r="R109" s="6" t="s">
        <v>21</v>
      </c>
      <c r="S109" s="6" t="s">
        <v>21</v>
      </c>
      <c r="T109" s="6" t="s">
        <v>21</v>
      </c>
      <c r="U109" s="6" t="s">
        <v>21</v>
      </c>
      <c r="V109" s="53" t="s">
        <v>21</v>
      </c>
      <c r="W109" s="53" t="s">
        <v>21</v>
      </c>
      <c r="X109" s="53" t="s">
        <v>21</v>
      </c>
      <c r="Y109" s="53" t="s">
        <v>21</v>
      </c>
      <c r="Z109" s="53" t="s">
        <v>21</v>
      </c>
      <c r="AA109" s="53" t="s">
        <v>21</v>
      </c>
      <c r="AB109" s="53" t="s">
        <v>21</v>
      </c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</row>
    <row r="110" spans="13:64" x14ac:dyDescent="0.25">
      <c r="M110" s="6">
        <v>5</v>
      </c>
      <c r="N110" s="6" t="s">
        <v>21</v>
      </c>
      <c r="O110" s="6" t="s">
        <v>21</v>
      </c>
      <c r="P110" s="6" t="s">
        <v>21</v>
      </c>
      <c r="Q110" s="6" t="s">
        <v>21</v>
      </c>
      <c r="R110" s="6" t="s">
        <v>21</v>
      </c>
      <c r="S110" s="6" t="s">
        <v>21</v>
      </c>
      <c r="T110" s="6" t="s">
        <v>21</v>
      </c>
      <c r="U110" s="6" t="s">
        <v>21</v>
      </c>
      <c r="V110" s="53" t="s">
        <v>21</v>
      </c>
      <c r="W110" s="53" t="s">
        <v>21</v>
      </c>
      <c r="X110" s="53" t="s">
        <v>21</v>
      </c>
      <c r="Y110" s="53" t="s">
        <v>21</v>
      </c>
      <c r="Z110" s="53" t="s">
        <v>21</v>
      </c>
      <c r="AA110" s="53" t="s">
        <v>21</v>
      </c>
      <c r="AB110" s="53" t="s">
        <v>21</v>
      </c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</row>
    <row r="111" spans="13:64" x14ac:dyDescent="0.25">
      <c r="M111" s="6">
        <v>6</v>
      </c>
      <c r="N111" s="6" t="s">
        <v>21</v>
      </c>
      <c r="O111" s="6" t="s">
        <v>21</v>
      </c>
      <c r="P111" s="6" t="s">
        <v>21</v>
      </c>
      <c r="Q111" s="6" t="s">
        <v>21</v>
      </c>
      <c r="R111" s="6" t="s">
        <v>21</v>
      </c>
      <c r="S111" s="6" t="s">
        <v>21</v>
      </c>
      <c r="T111" s="6" t="s">
        <v>21</v>
      </c>
      <c r="U111" s="6" t="s">
        <v>21</v>
      </c>
      <c r="V111" s="53" t="s">
        <v>21</v>
      </c>
      <c r="W111" s="53" t="s">
        <v>21</v>
      </c>
      <c r="X111" s="53" t="s">
        <v>21</v>
      </c>
      <c r="Y111" s="53" t="s">
        <v>21</v>
      </c>
      <c r="Z111" s="53" t="s">
        <v>21</v>
      </c>
      <c r="AA111" s="53" t="s">
        <v>21</v>
      </c>
      <c r="AB111" s="53" t="s">
        <v>21</v>
      </c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</row>
    <row r="112" spans="13:64" x14ac:dyDescent="0.25">
      <c r="M112" s="6">
        <v>7</v>
      </c>
      <c r="N112" s="6" t="s">
        <v>21</v>
      </c>
      <c r="O112" s="6" t="s">
        <v>21</v>
      </c>
      <c r="P112" s="6" t="s">
        <v>21</v>
      </c>
      <c r="Q112" s="6" t="s">
        <v>21</v>
      </c>
      <c r="R112" s="6" t="s">
        <v>21</v>
      </c>
      <c r="S112" s="6" t="s">
        <v>21</v>
      </c>
      <c r="T112" s="6" t="s">
        <v>21</v>
      </c>
      <c r="U112" s="6" t="s">
        <v>21</v>
      </c>
      <c r="V112" s="53" t="s">
        <v>21</v>
      </c>
      <c r="W112" s="53" t="s">
        <v>21</v>
      </c>
      <c r="X112" s="53" t="s">
        <v>21</v>
      </c>
      <c r="Y112" s="53" t="s">
        <v>21</v>
      </c>
      <c r="Z112" s="53" t="s">
        <v>21</v>
      </c>
      <c r="AA112" s="53" t="s">
        <v>21</v>
      </c>
      <c r="AB112" s="53" t="s">
        <v>21</v>
      </c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</row>
    <row r="113" spans="13:66" x14ac:dyDescent="0.25">
      <c r="M113" s="6">
        <v>8</v>
      </c>
      <c r="N113" s="6" t="s">
        <v>21</v>
      </c>
      <c r="O113" s="6" t="s">
        <v>21</v>
      </c>
      <c r="P113" s="6" t="s">
        <v>21</v>
      </c>
      <c r="Q113" s="6" t="s">
        <v>21</v>
      </c>
      <c r="R113" s="6" t="s">
        <v>21</v>
      </c>
      <c r="S113" s="6" t="s">
        <v>21</v>
      </c>
      <c r="T113" s="6" t="s">
        <v>21</v>
      </c>
      <c r="U113" s="6" t="s">
        <v>21</v>
      </c>
      <c r="V113" s="53" t="s">
        <v>21</v>
      </c>
      <c r="W113" s="53" t="s">
        <v>21</v>
      </c>
      <c r="X113" s="53" t="s">
        <v>21</v>
      </c>
      <c r="Y113" s="53" t="s">
        <v>21</v>
      </c>
      <c r="Z113" s="53" t="s">
        <v>21</v>
      </c>
      <c r="AA113" s="53" t="s">
        <v>21</v>
      </c>
      <c r="AB113" s="53" t="s">
        <v>21</v>
      </c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</row>
    <row r="114" spans="13:66" x14ac:dyDescent="0.25">
      <c r="M114" s="6">
        <v>12</v>
      </c>
      <c r="N114" s="6">
        <v>1</v>
      </c>
      <c r="O114" s="6">
        <v>3</v>
      </c>
      <c r="P114" s="6" t="s">
        <v>21</v>
      </c>
      <c r="Q114" s="6" t="s">
        <v>21</v>
      </c>
      <c r="R114" s="6" t="s">
        <v>21</v>
      </c>
      <c r="S114" s="6" t="s">
        <v>21</v>
      </c>
      <c r="T114" s="6" t="s">
        <v>21</v>
      </c>
      <c r="U114" s="6" t="s">
        <v>21</v>
      </c>
      <c r="V114" s="53" t="s">
        <v>21</v>
      </c>
      <c r="W114" s="53" t="s">
        <v>21</v>
      </c>
      <c r="X114" s="53" t="s">
        <v>21</v>
      </c>
      <c r="Y114" s="53" t="s">
        <v>21</v>
      </c>
      <c r="Z114" s="53" t="s">
        <v>21</v>
      </c>
      <c r="AA114" s="53" t="s">
        <v>21</v>
      </c>
      <c r="AB114" s="53" t="s">
        <v>21</v>
      </c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</row>
    <row r="115" spans="13:66" x14ac:dyDescent="0.25">
      <c r="M115" s="6">
        <v>13</v>
      </c>
      <c r="N115" s="6">
        <v>1</v>
      </c>
      <c r="O115" s="6">
        <v>4</v>
      </c>
      <c r="P115" s="6" t="s">
        <v>21</v>
      </c>
      <c r="Q115" s="6" t="s">
        <v>21</v>
      </c>
      <c r="R115" s="6" t="s">
        <v>21</v>
      </c>
      <c r="S115" s="6" t="s">
        <v>21</v>
      </c>
      <c r="T115" s="6" t="s">
        <v>21</v>
      </c>
      <c r="U115" s="6" t="s">
        <v>21</v>
      </c>
      <c r="V115" s="53" t="s">
        <v>21</v>
      </c>
      <c r="W115" s="53" t="s">
        <v>21</v>
      </c>
      <c r="X115" s="53" t="s">
        <v>21</v>
      </c>
      <c r="Y115" s="53" t="s">
        <v>21</v>
      </c>
      <c r="Z115" s="53" t="s">
        <v>21</v>
      </c>
      <c r="AA115" s="53" t="s">
        <v>21</v>
      </c>
      <c r="AB115" s="53" t="s">
        <v>21</v>
      </c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</row>
    <row r="116" spans="13:66" x14ac:dyDescent="0.25">
      <c r="M116" s="6">
        <v>16</v>
      </c>
      <c r="N116" s="6" t="s">
        <v>21</v>
      </c>
      <c r="O116" s="6" t="s">
        <v>21</v>
      </c>
      <c r="P116" s="6" t="s">
        <v>21</v>
      </c>
      <c r="Q116" s="6" t="s">
        <v>21</v>
      </c>
      <c r="R116" s="6" t="s">
        <v>21</v>
      </c>
      <c r="S116" s="6" t="s">
        <v>21</v>
      </c>
      <c r="T116" s="6" t="s">
        <v>21</v>
      </c>
      <c r="U116" s="6" t="s">
        <v>21</v>
      </c>
      <c r="V116" s="53" t="s">
        <v>21</v>
      </c>
      <c r="W116" s="53" t="s">
        <v>21</v>
      </c>
      <c r="X116" s="53" t="s">
        <v>21</v>
      </c>
      <c r="Y116" s="53" t="s">
        <v>21</v>
      </c>
      <c r="Z116" s="53" t="s">
        <v>21</v>
      </c>
      <c r="AA116" s="53" t="s">
        <v>21</v>
      </c>
      <c r="AB116" s="53" t="s">
        <v>21</v>
      </c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</row>
    <row r="117" spans="13:66" x14ac:dyDescent="0.25">
      <c r="M117" s="6">
        <v>17</v>
      </c>
      <c r="N117" s="6">
        <v>12</v>
      </c>
      <c r="O117" s="6">
        <v>13</v>
      </c>
      <c r="P117" s="6" t="s">
        <v>21</v>
      </c>
      <c r="Q117" s="6" t="s">
        <v>21</v>
      </c>
      <c r="R117" s="6" t="s">
        <v>21</v>
      </c>
      <c r="S117" s="6" t="s">
        <v>21</v>
      </c>
      <c r="T117" s="6">
        <v>1</v>
      </c>
      <c r="U117" s="6">
        <v>3</v>
      </c>
      <c r="V117" s="53">
        <v>4</v>
      </c>
      <c r="W117" s="53" t="s">
        <v>21</v>
      </c>
      <c r="X117" s="53" t="s">
        <v>21</v>
      </c>
      <c r="Y117" s="53" t="s">
        <v>21</v>
      </c>
      <c r="Z117" s="53" t="s">
        <v>21</v>
      </c>
      <c r="AA117" s="53" t="s">
        <v>21</v>
      </c>
      <c r="AB117" s="53" t="s">
        <v>21</v>
      </c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</row>
    <row r="118" spans="13:66" x14ac:dyDescent="0.25">
      <c r="M118" s="6">
        <v>18</v>
      </c>
      <c r="N118" s="6">
        <v>10</v>
      </c>
      <c r="O118" s="6">
        <v>12</v>
      </c>
      <c r="P118" s="6" t="s">
        <v>21</v>
      </c>
      <c r="Q118" s="6" t="s">
        <v>21</v>
      </c>
      <c r="R118" s="6" t="s">
        <v>21</v>
      </c>
      <c r="S118" s="6" t="s">
        <v>21</v>
      </c>
      <c r="T118" s="6">
        <v>1</v>
      </c>
      <c r="U118" s="6">
        <v>3</v>
      </c>
      <c r="V118" s="53">
        <v>4</v>
      </c>
      <c r="W118" s="53" t="s">
        <v>21</v>
      </c>
      <c r="X118" s="53" t="s">
        <v>21</v>
      </c>
      <c r="Y118" s="53" t="s">
        <v>21</v>
      </c>
      <c r="Z118" s="53" t="s">
        <v>21</v>
      </c>
      <c r="AA118" s="53" t="s">
        <v>21</v>
      </c>
      <c r="AB118" s="53" t="s">
        <v>21</v>
      </c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</row>
    <row r="119" spans="13:66" x14ac:dyDescent="0.25">
      <c r="M119" s="6">
        <v>19</v>
      </c>
      <c r="N119" s="6">
        <v>10</v>
      </c>
      <c r="O119" s="6">
        <v>12</v>
      </c>
      <c r="P119" s="6" t="s">
        <v>21</v>
      </c>
      <c r="Q119" s="6" t="s">
        <v>21</v>
      </c>
      <c r="R119" s="6" t="s">
        <v>21</v>
      </c>
      <c r="S119" s="6" t="s">
        <v>21</v>
      </c>
      <c r="T119" s="6">
        <v>1</v>
      </c>
      <c r="U119" s="6">
        <v>3</v>
      </c>
      <c r="V119" s="53">
        <v>4</v>
      </c>
      <c r="W119" s="53" t="s">
        <v>21</v>
      </c>
      <c r="X119" s="53" t="s">
        <v>21</v>
      </c>
      <c r="Y119" s="53" t="s">
        <v>21</v>
      </c>
      <c r="Z119" s="53" t="s">
        <v>21</v>
      </c>
      <c r="AA119" s="53" t="s">
        <v>21</v>
      </c>
      <c r="AB119" s="53" t="s">
        <v>21</v>
      </c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</row>
    <row r="120" spans="13:66" x14ac:dyDescent="0.25">
      <c r="M120" s="6">
        <v>24</v>
      </c>
      <c r="N120" s="6">
        <v>1</v>
      </c>
      <c r="O120" s="6">
        <v>3</v>
      </c>
      <c r="P120" s="6" t="s">
        <v>21</v>
      </c>
      <c r="Q120" s="6" t="s">
        <v>21</v>
      </c>
      <c r="R120" s="6" t="s">
        <v>21</v>
      </c>
      <c r="S120" s="6" t="s">
        <v>21</v>
      </c>
      <c r="T120" s="6" t="s">
        <v>21</v>
      </c>
      <c r="U120" s="6" t="s">
        <v>21</v>
      </c>
      <c r="V120" s="53" t="s">
        <v>21</v>
      </c>
      <c r="W120" s="53" t="s">
        <v>21</v>
      </c>
      <c r="X120" s="53" t="s">
        <v>21</v>
      </c>
      <c r="Y120" s="53" t="s">
        <v>21</v>
      </c>
      <c r="Z120" s="53" t="s">
        <v>21</v>
      </c>
      <c r="AA120" s="53" t="s">
        <v>21</v>
      </c>
      <c r="AB120" s="53" t="s">
        <v>21</v>
      </c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</row>
    <row r="121" spans="13:66" x14ac:dyDescent="0.25">
      <c r="M121" s="6">
        <v>25</v>
      </c>
      <c r="N121" s="6" t="s">
        <v>21</v>
      </c>
      <c r="O121" s="6" t="s">
        <v>21</v>
      </c>
      <c r="P121" s="6" t="s">
        <v>21</v>
      </c>
      <c r="Q121" s="6" t="s">
        <v>21</v>
      </c>
      <c r="R121" s="6" t="s">
        <v>21</v>
      </c>
      <c r="S121" s="6" t="s">
        <v>21</v>
      </c>
      <c r="T121" s="6">
        <v>16</v>
      </c>
      <c r="U121" s="6" t="s">
        <v>21</v>
      </c>
      <c r="V121" s="53" t="s">
        <v>21</v>
      </c>
      <c r="W121" s="53" t="s">
        <v>21</v>
      </c>
      <c r="X121" s="53" t="s">
        <v>21</v>
      </c>
      <c r="Y121" s="53" t="s">
        <v>21</v>
      </c>
      <c r="Z121" s="53" t="s">
        <v>21</v>
      </c>
      <c r="AA121" s="53" t="s">
        <v>21</v>
      </c>
      <c r="AB121" s="53" t="s">
        <v>21</v>
      </c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</row>
    <row r="122" spans="13:66" x14ac:dyDescent="0.25">
      <c r="M122" s="6">
        <v>26</v>
      </c>
      <c r="N122" s="6">
        <v>15</v>
      </c>
      <c r="O122" s="6" t="s">
        <v>21</v>
      </c>
      <c r="P122" s="6" t="s">
        <v>21</v>
      </c>
      <c r="Q122" s="6" t="s">
        <v>21</v>
      </c>
      <c r="R122" s="6" t="s">
        <v>21</v>
      </c>
      <c r="S122" s="6" t="s">
        <v>21</v>
      </c>
      <c r="T122" s="6">
        <v>5</v>
      </c>
      <c r="U122" s="6" t="s">
        <v>21</v>
      </c>
      <c r="V122" s="53" t="s">
        <v>21</v>
      </c>
      <c r="W122" s="53" t="s">
        <v>21</v>
      </c>
      <c r="X122" s="53" t="s">
        <v>21</v>
      </c>
      <c r="Y122" s="53" t="s">
        <v>21</v>
      </c>
      <c r="Z122" s="53" t="s">
        <v>21</v>
      </c>
      <c r="AA122" s="53" t="s">
        <v>21</v>
      </c>
      <c r="AB122" s="53" t="s">
        <v>21</v>
      </c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</row>
    <row r="123" spans="13:66" x14ac:dyDescent="0.25">
      <c r="M123" s="6">
        <v>28</v>
      </c>
      <c r="N123" s="6">
        <v>17</v>
      </c>
      <c r="O123" s="6" t="s">
        <v>21</v>
      </c>
      <c r="P123" s="6" t="s">
        <v>21</v>
      </c>
      <c r="Q123" s="6" t="s">
        <v>21</v>
      </c>
      <c r="R123" s="6" t="s">
        <v>21</v>
      </c>
      <c r="S123" s="6" t="s">
        <v>21</v>
      </c>
      <c r="T123" s="6">
        <v>12</v>
      </c>
      <c r="U123" s="6">
        <v>13</v>
      </c>
      <c r="V123" s="53" t="s">
        <v>21</v>
      </c>
      <c r="W123" s="53" t="s">
        <v>21</v>
      </c>
      <c r="X123" s="53" t="s">
        <v>21</v>
      </c>
      <c r="Y123" s="53" t="s">
        <v>21</v>
      </c>
      <c r="Z123" s="53" t="s">
        <v>21</v>
      </c>
      <c r="AA123" s="53" t="s">
        <v>21</v>
      </c>
      <c r="AB123" s="53" t="s">
        <v>21</v>
      </c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</row>
    <row r="124" spans="13:66" x14ac:dyDescent="0.25">
      <c r="M124" s="6">
        <v>29</v>
      </c>
      <c r="N124" s="6">
        <v>20</v>
      </c>
      <c r="O124" s="6">
        <v>24</v>
      </c>
      <c r="P124" s="6" t="s">
        <v>21</v>
      </c>
      <c r="Q124" s="6" t="s">
        <v>21</v>
      </c>
      <c r="R124" s="6" t="s">
        <v>21</v>
      </c>
      <c r="S124" s="6" t="s">
        <v>21</v>
      </c>
      <c r="T124" s="6">
        <v>3</v>
      </c>
      <c r="U124" s="6">
        <v>11</v>
      </c>
      <c r="V124" s="53">
        <v>13</v>
      </c>
      <c r="W124" s="53" t="s">
        <v>21</v>
      </c>
      <c r="X124" s="53" t="s">
        <v>21</v>
      </c>
      <c r="Y124" s="53" t="s">
        <v>21</v>
      </c>
      <c r="Z124" s="53" t="s">
        <v>21</v>
      </c>
      <c r="AA124" s="53" t="s">
        <v>21</v>
      </c>
      <c r="AB124" s="53" t="s">
        <v>21</v>
      </c>
    </row>
    <row r="125" spans="13:66" x14ac:dyDescent="0.25">
      <c r="M125" s="6">
        <v>30</v>
      </c>
      <c r="N125" s="6">
        <v>17</v>
      </c>
      <c r="O125" s="6" t="s">
        <v>21</v>
      </c>
      <c r="P125" s="6" t="s">
        <v>21</v>
      </c>
      <c r="Q125" s="6" t="s">
        <v>21</v>
      </c>
      <c r="R125" s="6" t="s">
        <v>21</v>
      </c>
      <c r="S125" s="6" t="s">
        <v>21</v>
      </c>
      <c r="T125" s="6">
        <v>12</v>
      </c>
      <c r="U125" s="6">
        <v>13</v>
      </c>
      <c r="V125" s="53" t="s">
        <v>21</v>
      </c>
      <c r="W125" s="53" t="s">
        <v>21</v>
      </c>
      <c r="X125" s="53" t="s">
        <v>21</v>
      </c>
      <c r="Y125" s="53" t="s">
        <v>21</v>
      </c>
      <c r="Z125" s="53" t="s">
        <v>21</v>
      </c>
      <c r="AA125" s="53" t="s">
        <v>21</v>
      </c>
      <c r="AB125" s="53" t="s">
        <v>21</v>
      </c>
      <c r="AO125" s="16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  <c r="BK125" s="53"/>
      <c r="BL125" s="53"/>
      <c r="BM125" s="53"/>
      <c r="BN125" s="53"/>
    </row>
    <row r="126" spans="13:66" x14ac:dyDescent="0.25">
      <c r="M126" s="6">
        <v>31</v>
      </c>
      <c r="N126" s="6">
        <v>12</v>
      </c>
      <c r="O126" s="6">
        <v>13</v>
      </c>
      <c r="P126" s="6" t="s">
        <v>21</v>
      </c>
      <c r="Q126" s="6" t="s">
        <v>21</v>
      </c>
      <c r="R126" s="6" t="s">
        <v>21</v>
      </c>
      <c r="S126" s="6" t="s">
        <v>21</v>
      </c>
      <c r="T126" s="6">
        <v>1</v>
      </c>
      <c r="U126" s="6">
        <v>3</v>
      </c>
      <c r="V126" s="53">
        <v>4</v>
      </c>
      <c r="W126" s="53" t="s">
        <v>21</v>
      </c>
      <c r="X126" s="53" t="s">
        <v>21</v>
      </c>
      <c r="Y126" s="53" t="s">
        <v>21</v>
      </c>
      <c r="Z126" s="53" t="s">
        <v>21</v>
      </c>
      <c r="AA126" s="53" t="s">
        <v>21</v>
      </c>
      <c r="AB126" s="53" t="s">
        <v>21</v>
      </c>
      <c r="AT126" s="6"/>
      <c r="AU126" s="6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  <c r="BK126" s="53"/>
      <c r="BL126" s="53"/>
      <c r="BM126" s="53"/>
      <c r="BN126" s="53"/>
    </row>
    <row r="127" spans="13:66" x14ac:dyDescent="0.25">
      <c r="M127" s="6">
        <v>33</v>
      </c>
      <c r="N127" s="6">
        <v>19</v>
      </c>
      <c r="O127" s="6" t="s">
        <v>21</v>
      </c>
      <c r="P127" s="6" t="s">
        <v>21</v>
      </c>
      <c r="Q127" s="6" t="s">
        <v>21</v>
      </c>
      <c r="R127" s="6" t="s">
        <v>21</v>
      </c>
      <c r="S127" s="6" t="s">
        <v>21</v>
      </c>
      <c r="T127" s="6">
        <v>1</v>
      </c>
      <c r="U127" s="6">
        <v>3</v>
      </c>
      <c r="V127" s="53">
        <v>4</v>
      </c>
      <c r="W127" s="53">
        <v>10</v>
      </c>
      <c r="X127" s="53" t="s">
        <v>21</v>
      </c>
      <c r="Y127" s="53" t="s">
        <v>21</v>
      </c>
      <c r="Z127" s="53" t="s">
        <v>21</v>
      </c>
      <c r="AA127" s="53" t="s">
        <v>21</v>
      </c>
      <c r="AB127" s="53" t="s">
        <v>21</v>
      </c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  <c r="BK127" s="53"/>
      <c r="BL127" s="53"/>
      <c r="BM127" s="53"/>
      <c r="BN127" s="53"/>
    </row>
    <row r="128" spans="13:66" x14ac:dyDescent="0.25">
      <c r="M128" s="6">
        <v>37</v>
      </c>
      <c r="N128" s="6">
        <v>26</v>
      </c>
      <c r="O128" s="6" t="s">
        <v>21</v>
      </c>
      <c r="P128" s="6" t="s">
        <v>21</v>
      </c>
      <c r="Q128" s="6" t="s">
        <v>21</v>
      </c>
      <c r="R128" s="6" t="s">
        <v>21</v>
      </c>
      <c r="S128" s="6" t="s">
        <v>21</v>
      </c>
      <c r="T128" s="6">
        <v>15</v>
      </c>
      <c r="U128" s="6" t="s">
        <v>21</v>
      </c>
      <c r="V128" s="53" t="s">
        <v>21</v>
      </c>
      <c r="W128" s="53" t="s">
        <v>21</v>
      </c>
      <c r="X128" s="53" t="s">
        <v>21</v>
      </c>
      <c r="Y128" s="53" t="s">
        <v>21</v>
      </c>
      <c r="Z128" s="53" t="s">
        <v>21</v>
      </c>
      <c r="AA128" s="53" t="s">
        <v>21</v>
      </c>
      <c r="AB128" s="53" t="s">
        <v>21</v>
      </c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</row>
    <row r="129" spans="13:47" x14ac:dyDescent="0.25">
      <c r="M129" s="6">
        <v>38</v>
      </c>
      <c r="N129" s="6">
        <v>15</v>
      </c>
      <c r="O129" s="6" t="s">
        <v>21</v>
      </c>
      <c r="P129" s="6" t="s">
        <v>21</v>
      </c>
      <c r="Q129" s="6" t="s">
        <v>21</v>
      </c>
      <c r="R129" s="6" t="s">
        <v>21</v>
      </c>
      <c r="S129" s="6" t="s">
        <v>21</v>
      </c>
      <c r="T129" s="6">
        <v>5</v>
      </c>
      <c r="U129" s="6" t="s">
        <v>21</v>
      </c>
      <c r="V129" s="53" t="s">
        <v>21</v>
      </c>
      <c r="W129" s="53" t="s">
        <v>21</v>
      </c>
      <c r="X129" s="53" t="s">
        <v>21</v>
      </c>
      <c r="Y129" s="53" t="s">
        <v>21</v>
      </c>
      <c r="Z129" s="53" t="s">
        <v>21</v>
      </c>
      <c r="AA129" s="53" t="s">
        <v>21</v>
      </c>
      <c r="AB129" s="53" t="s">
        <v>21</v>
      </c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</row>
    <row r="130" spans="13:47" x14ac:dyDescent="0.25">
      <c r="M130" s="6" t="s">
        <v>31</v>
      </c>
      <c r="N130" s="53">
        <v>1</v>
      </c>
      <c r="O130" s="53">
        <v>3</v>
      </c>
      <c r="P130" s="53">
        <v>4</v>
      </c>
      <c r="Q130" s="53">
        <v>8</v>
      </c>
      <c r="R130" s="53" t="s">
        <v>21</v>
      </c>
      <c r="S130" s="53" t="s">
        <v>21</v>
      </c>
      <c r="T130" s="53" t="s">
        <v>21</v>
      </c>
      <c r="U130" s="53" t="s">
        <v>21</v>
      </c>
      <c r="V130" s="53" t="s">
        <v>21</v>
      </c>
      <c r="W130" s="53" t="s">
        <v>21</v>
      </c>
      <c r="X130" s="53" t="s">
        <v>21</v>
      </c>
      <c r="Y130" s="53" t="s">
        <v>21</v>
      </c>
      <c r="Z130" s="53" t="s">
        <v>21</v>
      </c>
      <c r="AA130" s="53" t="s">
        <v>21</v>
      </c>
      <c r="AB130" s="53" t="s">
        <v>21</v>
      </c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</row>
    <row r="131" spans="13:47" ht="15.75" customHeight="1" x14ac:dyDescent="0.25">
      <c r="M131" s="6" t="s">
        <v>32</v>
      </c>
      <c r="N131" s="53">
        <v>1</v>
      </c>
      <c r="O131" s="53">
        <v>5</v>
      </c>
      <c r="P131" s="53">
        <v>6</v>
      </c>
      <c r="Q131" s="53">
        <v>7</v>
      </c>
      <c r="R131" s="53" t="s">
        <v>21</v>
      </c>
      <c r="S131" s="53" t="s">
        <v>21</v>
      </c>
      <c r="T131" s="53" t="s">
        <v>21</v>
      </c>
      <c r="U131" s="53" t="s">
        <v>21</v>
      </c>
      <c r="V131" s="53" t="s">
        <v>21</v>
      </c>
      <c r="W131" s="53" t="s">
        <v>21</v>
      </c>
      <c r="X131" s="53" t="s">
        <v>21</v>
      </c>
      <c r="Y131" s="53" t="s">
        <v>21</v>
      </c>
      <c r="Z131" s="53" t="s">
        <v>21</v>
      </c>
      <c r="AA131" s="53" t="s">
        <v>21</v>
      </c>
      <c r="AB131" s="53" t="s">
        <v>21</v>
      </c>
    </row>
    <row r="132" spans="13:47" x14ac:dyDescent="0.25">
      <c r="M132" s="6" t="s">
        <v>33</v>
      </c>
      <c r="N132" s="53">
        <v>1</v>
      </c>
      <c r="O132" s="53">
        <v>5</v>
      </c>
      <c r="P132" s="53">
        <v>6</v>
      </c>
      <c r="Q132" s="53">
        <v>7</v>
      </c>
      <c r="R132" s="53" t="s">
        <v>21</v>
      </c>
      <c r="S132" s="53" t="s">
        <v>21</v>
      </c>
      <c r="T132" s="53" t="s">
        <v>21</v>
      </c>
      <c r="U132" s="53" t="s">
        <v>21</v>
      </c>
      <c r="V132" s="53" t="s">
        <v>21</v>
      </c>
      <c r="W132" s="53" t="s">
        <v>21</v>
      </c>
      <c r="X132" s="53" t="s">
        <v>21</v>
      </c>
      <c r="Y132" s="53" t="s">
        <v>21</v>
      </c>
      <c r="Z132" s="53" t="s">
        <v>21</v>
      </c>
      <c r="AA132" s="53" t="s">
        <v>21</v>
      </c>
      <c r="AB132" s="53" t="s">
        <v>21</v>
      </c>
    </row>
    <row r="133" spans="13:47" x14ac:dyDescent="0.25">
      <c r="M133" s="6" t="s">
        <v>34</v>
      </c>
      <c r="N133" s="53">
        <v>18</v>
      </c>
      <c r="O133" s="53">
        <v>19</v>
      </c>
      <c r="P133" s="53">
        <v>21</v>
      </c>
      <c r="Q133" s="53">
        <v>22</v>
      </c>
      <c r="R133" s="53">
        <v>27</v>
      </c>
      <c r="S133" s="53">
        <v>30</v>
      </c>
      <c r="T133" s="53" t="s">
        <v>21</v>
      </c>
      <c r="U133" s="53" t="s">
        <v>21</v>
      </c>
      <c r="V133" s="53" t="s">
        <v>21</v>
      </c>
      <c r="W133" s="53" t="s">
        <v>21</v>
      </c>
      <c r="X133" s="53" t="s">
        <v>21</v>
      </c>
      <c r="Y133" s="53" t="s">
        <v>21</v>
      </c>
      <c r="Z133" s="53" t="s">
        <v>21</v>
      </c>
      <c r="AA133" s="53" t="s">
        <v>21</v>
      </c>
      <c r="AB133" s="53" t="s">
        <v>21</v>
      </c>
    </row>
    <row r="134" spans="13:47" x14ac:dyDescent="0.25">
      <c r="M134" s="6" t="s">
        <v>42</v>
      </c>
      <c r="N134" s="53">
        <v>27</v>
      </c>
      <c r="O134" s="53">
        <v>28</v>
      </c>
      <c r="P134" s="53">
        <v>33</v>
      </c>
      <c r="Q134" s="53" t="s">
        <v>21</v>
      </c>
      <c r="R134" s="53" t="s">
        <v>21</v>
      </c>
      <c r="S134" s="53" t="s">
        <v>21</v>
      </c>
      <c r="T134" s="53">
        <v>19</v>
      </c>
      <c r="U134" s="53">
        <v>22</v>
      </c>
      <c r="V134" s="53" t="s">
        <v>21</v>
      </c>
      <c r="W134" s="53" t="s">
        <v>21</v>
      </c>
      <c r="X134" s="53" t="s">
        <v>21</v>
      </c>
      <c r="Y134" s="53" t="s">
        <v>21</v>
      </c>
      <c r="Z134" s="53" t="s">
        <v>21</v>
      </c>
      <c r="AA134" s="53" t="s">
        <v>21</v>
      </c>
      <c r="AB134" s="53" t="s">
        <v>21</v>
      </c>
    </row>
    <row r="135" spans="13:47" x14ac:dyDescent="0.25">
      <c r="M135" s="6" t="s">
        <v>43</v>
      </c>
      <c r="N135" s="53">
        <v>27</v>
      </c>
      <c r="O135" s="53">
        <v>29</v>
      </c>
      <c r="P135" s="53" t="s">
        <v>21</v>
      </c>
      <c r="Q135" s="53" t="s">
        <v>21</v>
      </c>
      <c r="R135" s="53" t="s">
        <v>21</v>
      </c>
      <c r="S135" s="53" t="s">
        <v>21</v>
      </c>
      <c r="T135" s="53">
        <v>1</v>
      </c>
      <c r="U135" s="53">
        <v>3</v>
      </c>
      <c r="V135" s="53">
        <v>4</v>
      </c>
      <c r="W135" s="53">
        <v>8</v>
      </c>
      <c r="X135" s="53">
        <v>21</v>
      </c>
      <c r="Y135" s="53" t="s">
        <v>21</v>
      </c>
      <c r="Z135" s="53" t="s">
        <v>21</v>
      </c>
      <c r="AA135" s="53" t="s">
        <v>21</v>
      </c>
      <c r="AB135" s="53" t="s">
        <v>21</v>
      </c>
    </row>
    <row r="136" spans="13:47" x14ac:dyDescent="0.25">
      <c r="M136" s="6" t="s">
        <v>44</v>
      </c>
      <c r="N136" s="53">
        <v>27</v>
      </c>
      <c r="O136" s="53">
        <v>28</v>
      </c>
      <c r="P136" s="53" t="s">
        <v>21</v>
      </c>
      <c r="Q136" s="53" t="s">
        <v>21</v>
      </c>
      <c r="R136" s="53" t="s">
        <v>21</v>
      </c>
      <c r="S136" s="53" t="s">
        <v>21</v>
      </c>
      <c r="T136" s="53">
        <v>17</v>
      </c>
      <c r="U136" s="53">
        <v>18</v>
      </c>
      <c r="V136" s="53">
        <v>19</v>
      </c>
      <c r="W136" s="53">
        <v>21</v>
      </c>
      <c r="X136" s="53">
        <v>22</v>
      </c>
      <c r="Y136" s="53">
        <v>23</v>
      </c>
      <c r="Z136" s="53">
        <v>24</v>
      </c>
      <c r="AA136" s="53">
        <v>25</v>
      </c>
      <c r="AB136" s="53" t="s">
        <v>21</v>
      </c>
    </row>
    <row r="140" spans="13:47" x14ac:dyDescent="0.25">
      <c r="M140" s="46" t="s">
        <v>80</v>
      </c>
    </row>
    <row r="141" spans="13:47" x14ac:dyDescent="0.25">
      <c r="M141" s="47" t="str" cm="1">
        <f t="array" ref="M141:M196">_xlfn._xlws.SORT(_xlfn._xlws.FILTER(Tabla1[Materia],Tabla1[HALLAR]))</f>
        <v>Algebra y Geometría Analítica</v>
      </c>
    </row>
    <row r="142" spans="13:47" x14ac:dyDescent="0.25">
      <c r="M142" t="str">
        <v>Análisis Estructural Estático Mediante el Método de Elementos Finitos</v>
      </c>
    </row>
    <row r="143" spans="13:47" x14ac:dyDescent="0.25">
      <c r="M143" t="str">
        <v>Análisis Matemático 1</v>
      </c>
    </row>
    <row r="144" spans="13:47" x14ac:dyDescent="0.25">
      <c r="M144" t="str">
        <v>Análisis Matemático 2</v>
      </c>
    </row>
    <row r="145" spans="13:13" x14ac:dyDescent="0.25">
      <c r="M145" t="str">
        <v>Automotores 1</v>
      </c>
    </row>
    <row r="146" spans="13:13" x14ac:dyDescent="0.25">
      <c r="M146" t="str">
        <v>Automotores 2</v>
      </c>
    </row>
    <row r="147" spans="13:13" x14ac:dyDescent="0.25">
      <c r="M147" t="str">
        <v>Cálculo Avanzado</v>
      </c>
    </row>
    <row r="148" spans="13:13" x14ac:dyDescent="0.25">
      <c r="M148" t="str">
        <v>Diseño de Instalaciones Térmicas</v>
      </c>
    </row>
    <row r="149" spans="13:13" x14ac:dyDescent="0.25">
      <c r="M149" t="str">
        <v>Diseño Mecánico</v>
      </c>
    </row>
    <row r="150" spans="13:13" x14ac:dyDescent="0.25">
      <c r="M150" t="str">
        <v>Economía</v>
      </c>
    </row>
    <row r="151" spans="13:13" x14ac:dyDescent="0.25">
      <c r="M151" t="str">
        <v>Electrónica y Sistemas de Control</v>
      </c>
    </row>
    <row r="152" spans="13:13" x14ac:dyDescent="0.25">
      <c r="M152" t="str">
        <v>Electrotecnia y Máquinas Eléctricas</v>
      </c>
    </row>
    <row r="153" spans="13:13" x14ac:dyDescent="0.25">
      <c r="M153" t="str">
        <v>Elementos de Máquinas (Int)</v>
      </c>
    </row>
    <row r="154" spans="13:13" x14ac:dyDescent="0.25">
      <c r="M154" t="str">
        <v>Estabilidad 1</v>
      </c>
    </row>
    <row r="155" spans="13:13" x14ac:dyDescent="0.25">
      <c r="M155" t="str">
        <v>Estabilidad 2</v>
      </c>
    </row>
    <row r="156" spans="13:13" x14ac:dyDescent="0.25">
      <c r="M156" t="str">
        <v>Estabilidad 2</v>
      </c>
    </row>
    <row r="157" spans="13:13" x14ac:dyDescent="0.25">
      <c r="M157" t="str">
        <v>Física 1</v>
      </c>
    </row>
    <row r="158" spans="13:13" x14ac:dyDescent="0.25">
      <c r="M158" t="str">
        <v>Física 2</v>
      </c>
    </row>
    <row r="159" spans="13:13" x14ac:dyDescent="0.25">
      <c r="M159" t="str">
        <v>Fundamentos de Informática</v>
      </c>
    </row>
    <row r="160" spans="13:13" x14ac:dyDescent="0.25">
      <c r="M160" t="str">
        <v>Fundamentos de Optimización de Ingeniería</v>
      </c>
    </row>
    <row r="161" spans="13:13" x14ac:dyDescent="0.25">
      <c r="M161" t="str">
        <v>Gestión Ambiental*</v>
      </c>
    </row>
    <row r="162" spans="13:13" x14ac:dyDescent="0.25">
      <c r="M162" t="str">
        <v>Gestión de Proyectos*</v>
      </c>
    </row>
    <row r="163" spans="13:13" x14ac:dyDescent="0.25">
      <c r="M163" t="str">
        <v>Gestión Emprendedora*</v>
      </c>
    </row>
    <row r="164" spans="13:13" x14ac:dyDescent="0.25">
      <c r="M164" t="str">
        <v>Ingeniería Ambiental y Seguridad Industrial</v>
      </c>
    </row>
    <row r="165" spans="13:13" x14ac:dyDescent="0.25">
      <c r="M165" t="str">
        <v>Ingeniería Mecánica 1 (Int)</v>
      </c>
    </row>
    <row r="166" spans="13:13" x14ac:dyDescent="0.25">
      <c r="M166" t="str">
        <v>Ingeniería Mecánica 2 (Int)</v>
      </c>
    </row>
    <row r="167" spans="13:13" x14ac:dyDescent="0.25">
      <c r="M167" t="str">
        <v>Ingeniería Mecánica 3 (Int)</v>
      </c>
    </row>
    <row r="168" spans="13:13" x14ac:dyDescent="0.25">
      <c r="M168" t="str">
        <v>Ingeniería y Sociedad</v>
      </c>
    </row>
    <row r="169" spans="13:13" x14ac:dyDescent="0.25">
      <c r="M169" t="str">
        <v>Inglés 1</v>
      </c>
    </row>
    <row r="170" spans="13:13" x14ac:dyDescent="0.25">
      <c r="M170" t="str">
        <v>Inglés 2</v>
      </c>
    </row>
    <row r="171" spans="13:13" x14ac:dyDescent="0.25">
      <c r="M171" t="str">
        <v>Instalaciones Industriales</v>
      </c>
    </row>
    <row r="172" spans="13:13" x14ac:dyDescent="0.25">
      <c r="M172" t="str">
        <v>Introducción a la Programación Computacional en Ingeniería</v>
      </c>
    </row>
    <row r="173" spans="13:13" x14ac:dyDescent="0.25">
      <c r="M173" t="str">
        <v>Introducción a la Programación y Operación de Máquinas CNC</v>
      </c>
    </row>
    <row r="174" spans="13:13" x14ac:dyDescent="0.25">
      <c r="M174" t="str">
        <v>Introducción al Método de Elementos Finitos</v>
      </c>
    </row>
    <row r="175" spans="13:13" x14ac:dyDescent="0.25">
      <c r="M175" t="str">
        <v>Legislación</v>
      </c>
    </row>
    <row r="176" spans="13:13" x14ac:dyDescent="0.25">
      <c r="M176" t="str">
        <v>Logística*</v>
      </c>
    </row>
    <row r="177" spans="13:13" x14ac:dyDescent="0.25">
      <c r="M177" t="str">
        <v>Mantenimiento</v>
      </c>
    </row>
    <row r="178" spans="13:13" x14ac:dyDescent="0.25">
      <c r="M178" t="str">
        <v>Máquinas Alternativas y Turbomáquinas</v>
      </c>
    </row>
    <row r="179" spans="13:13" x14ac:dyDescent="0.25">
      <c r="M179" t="str">
        <v>Materiales Metálicos</v>
      </c>
    </row>
    <row r="180" spans="13:13" x14ac:dyDescent="0.25">
      <c r="M180" t="str">
        <v>Materiales No Metálicos</v>
      </c>
    </row>
    <row r="181" spans="13:13" x14ac:dyDescent="0.25">
      <c r="M181" t="str">
        <v>Mecánica de los Fluidos</v>
      </c>
    </row>
    <row r="182" spans="13:13" x14ac:dyDescent="0.25">
      <c r="M182" t="str">
        <v>Mecánica Racional</v>
      </c>
    </row>
    <row r="183" spans="13:13" x14ac:dyDescent="0.25">
      <c r="M183" t="str">
        <v>Mediciones y Ensayos</v>
      </c>
    </row>
    <row r="184" spans="13:13" x14ac:dyDescent="0.25">
      <c r="M184" t="str">
        <v>Metrología e Ingeniería de Calidad</v>
      </c>
    </row>
    <row r="185" spans="13:13" x14ac:dyDescent="0.25">
      <c r="M185" t="str">
        <v>Organización Industrial</v>
      </c>
    </row>
    <row r="186" spans="13:13" x14ac:dyDescent="0.25">
      <c r="M186" t="str">
        <v>Practica Profecional Supervisada</v>
      </c>
    </row>
    <row r="187" spans="13:13" x14ac:dyDescent="0.25">
      <c r="M187" t="str">
        <v>Probabilidad y Estadística</v>
      </c>
    </row>
    <row r="188" spans="13:13" x14ac:dyDescent="0.25">
      <c r="M188" t="str">
        <v>Proyecto Final (Int)</v>
      </c>
    </row>
    <row r="189" spans="13:13" x14ac:dyDescent="0.25">
      <c r="M189" t="str">
        <v>Química General</v>
      </c>
    </row>
    <row r="190" spans="13:13" x14ac:dyDescent="0.25">
      <c r="M190" t="str">
        <v>Sistemas de Representación</v>
      </c>
    </row>
    <row r="191" spans="13:13" x14ac:dyDescent="0.25">
      <c r="M191" t="str">
        <v>Sistemas de Representación Avanzada</v>
      </c>
    </row>
    <row r="192" spans="13:13" x14ac:dyDescent="0.25">
      <c r="M192" t="str">
        <v>Sistemas Neumáticos e Hidráulicos</v>
      </c>
    </row>
    <row r="193" spans="13:25" x14ac:dyDescent="0.25">
      <c r="M193" t="str">
        <v>Tecnología de Fabricación</v>
      </c>
    </row>
    <row r="194" spans="13:25" x14ac:dyDescent="0.25">
      <c r="M194" t="str">
        <v>Tecnología del Calor</v>
      </c>
    </row>
    <row r="195" spans="13:25" x14ac:dyDescent="0.25">
      <c r="M195" t="str">
        <v>Tecnología Mecánica</v>
      </c>
    </row>
    <row r="196" spans="13:25" x14ac:dyDescent="0.25">
      <c r="M196" t="str">
        <v>Termodinámica</v>
      </c>
    </row>
    <row r="203" spans="13:25" x14ac:dyDescent="0.25">
      <c r="Y203"/>
    </row>
    <row r="204" spans="13:25" x14ac:dyDescent="0.25">
      <c r="Y204"/>
    </row>
    <row r="264" spans="25:25" x14ac:dyDescent="0.25">
      <c r="Y264"/>
    </row>
  </sheetData>
  <sheetProtection sort="0" autoFilter="0"/>
  <mergeCells count="19">
    <mergeCell ref="G10:H10"/>
    <mergeCell ref="B31:C31"/>
    <mergeCell ref="B12:E14"/>
    <mergeCell ref="B2:E4"/>
    <mergeCell ref="I16:J17"/>
    <mergeCell ref="D16:E17"/>
    <mergeCell ref="D28:E29"/>
    <mergeCell ref="G12:J14"/>
    <mergeCell ref="B24:E26"/>
    <mergeCell ref="G2:J4"/>
    <mergeCell ref="I8:J8"/>
    <mergeCell ref="I10:J10"/>
    <mergeCell ref="G24:H26"/>
    <mergeCell ref="I24:J26"/>
    <mergeCell ref="I6:J6"/>
    <mergeCell ref="I7:J7"/>
    <mergeCell ref="G6:H6"/>
    <mergeCell ref="G7:H7"/>
    <mergeCell ref="G8:H8"/>
  </mergeCells>
  <phoneticPr fontId="8" type="noConversion"/>
  <conditionalFormatting sqref="D16">
    <cfRule type="colorScale" priority="7">
      <colorScale>
        <cfvo type="num" val="0"/>
        <cfvo type="num" val="12"/>
        <cfvo type="num" val="25"/>
        <color theme="9"/>
        <color rgb="FFFFEB84"/>
        <color rgb="FFF30B11"/>
      </colorScale>
    </cfRule>
  </conditionalFormatting>
  <conditionalFormatting sqref="I16">
    <cfRule type="colorScale" priority="9">
      <colorScale>
        <cfvo type="num" val="0"/>
        <cfvo type="num" val="20"/>
        <cfvo type="num" val="41"/>
        <color theme="9"/>
        <color rgb="FFFFEB84"/>
        <color rgb="FFF30B11"/>
      </colorScale>
    </cfRule>
  </conditionalFormatting>
  <conditionalFormatting sqref="I10">
    <cfRule type="colorScale" priority="4">
      <colorScale>
        <cfvo type="num" val="0"/>
        <cfvo type="num" val="5"/>
        <cfvo type="num" val="10"/>
        <color rgb="FFF30B11"/>
        <color rgb="FFFFEB84"/>
        <color theme="9"/>
      </colorScale>
    </cfRule>
  </conditionalFormatting>
  <conditionalFormatting sqref="B33:B35 B20:B22 G20:G22">
    <cfRule type="iconSet" priority="195">
      <iconSet iconSet="3Symbols2" showValue="0">
        <cfvo type="percent" val="0"/>
        <cfvo type="num" val="1"/>
        <cfvo type="num" val="2"/>
      </iconSet>
    </cfRule>
  </conditionalFormatting>
  <conditionalFormatting sqref="P3">
    <cfRule type="iconSet" priority="2">
      <iconSet iconSet="3Symbols2" showValue="0">
        <cfvo type="percent" val="0"/>
        <cfvo type="num" val="1"/>
        <cfvo type="num" val="2"/>
      </iconSet>
    </cfRule>
  </conditionalFormatting>
  <conditionalFormatting sqref="P4">
    <cfRule type="iconSet" priority="290">
      <iconSet iconSet="3Symbols2" showValue="0">
        <cfvo type="percent" val="0"/>
        <cfvo type="num" val="1"/>
        <cfvo type="num" val="2"/>
      </iconSet>
    </cfRule>
  </conditionalFormatting>
  <conditionalFormatting sqref="B7:B9">
    <cfRule type="iconSet" priority="1">
      <iconSet iconSet="3Symbols2" showValue="0">
        <cfvo type="percent" val="0"/>
        <cfvo type="num" val="1"/>
        <cfvo type="num" val="2"/>
      </iconSet>
    </cfRule>
  </conditionalFormatting>
  <dataValidations disablePrompts="1" count="6">
    <dataValidation allowBlank="1" showInputMessage="1" showErrorMessage="1" promptTitle="Id. de empleado" prompt="Escriba un id. único para cada empleado." sqref="B61" xr:uid="{42AC6862-DDC3-446A-86A6-343ABF984E2C}"/>
    <dataValidation allowBlank="1" showInputMessage="1" showErrorMessage="1" promptTitle="Título" prompt="Se mostrará el cargo o rol del empleado en la forma." sqref="D61" xr:uid="{94D2954F-AEBE-4B33-AC05-529B2F55D164}"/>
    <dataValidation allowBlank="1" showInputMessage="1" showErrorMessage="1" promptTitle="Id. de administrador" prompt="Especifique el identificador de empleado del administrador. Este identificador debe estar presente en la columna de ID de empleado." sqref="E61" xr:uid="{1FBE312D-2A67-423B-8A9B-2A25BF4416F1}"/>
    <dataValidation allowBlank="1" showInputMessage="1" showErrorMessage="1" promptTitle="Tipo de rol" prompt="Elija la función que mejor represente al empleado. Esto cambia el color de la forma." sqref="F61" xr:uid="{D1A2C0C7-7C46-4F1F-BD66-12E683D1259A}"/>
    <dataValidation type="list" allowBlank="1" showInputMessage="1" sqref="F60" xr:uid="{7FCA5312-155A-4DC1-8A18-CA82A6DC1232}">
      <formula1>"Proceso, Decisión, Subproceso, Iniciar, Fin, Documento, Datos, Base de datos, Datos externos, Referencia en página, Referencia a otra página, Personalizado 1, Personalizado 2, Personalizado 3, Personalizado 4"</formula1>
    </dataValidation>
    <dataValidation type="list" allowBlank="1" showInputMessage="1" sqref="F60" xr:uid="{FF2E56C7-8A37-4CDB-8630-3B72767BB7D2}">
      <formula1>"Ejecutivo, Administrador, Posición, Asistente, Plantilla, Consultor, Vacante"</formula1>
    </dataValidation>
  </dataValidations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45450F-F3FB-4642-89F2-E54C439B30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Plan de Estudio</vt:lpstr>
      <vt:lpstr>Control</vt:lpstr>
      <vt:lpstr>_anio_ingreso</vt:lpstr>
      <vt:lpstr>_cmb_lista_materias</vt:lpstr>
      <vt:lpstr>_excepcion</vt:lpstr>
      <vt:lpstr>_Tabla_Materias</vt:lpstr>
      <vt:lpstr>_tabla_tipo_materia</vt:lpstr>
      <vt:lpstr>Modalidades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 Benicio Charra Marquez</dc:creator>
  <cp:lastModifiedBy>Giuliano Benicio Charra Marquez</cp:lastModifiedBy>
  <cp:lastPrinted>2025-03-10T03:55:52Z</cp:lastPrinted>
  <dcterms:created xsi:type="dcterms:W3CDTF">2015-06-05T18:19:34Z</dcterms:created>
  <dcterms:modified xsi:type="dcterms:W3CDTF">2025-04-13T03:17:09Z</dcterms:modified>
</cp:coreProperties>
</file>