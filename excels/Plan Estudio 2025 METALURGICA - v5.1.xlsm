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D09A5F22-71F6-466D-B8A8-3A12F49093AC}" xr6:coauthVersionLast="47" xr6:coauthVersionMax="47" xr10:uidLastSave="{00000000-0000-0000-0000-000000000000}"/>
  <bookViews>
    <workbookView xWindow="-120" yWindow="-120" windowWidth="38640" windowHeight="15990" xr2:uid="{73D44509-513D-46B0-BA06-915A2540095E}"/>
  </bookViews>
  <sheets>
    <sheet name="Plan de Estudio" sheetId="1" r:id="rId1"/>
    <sheet name="Control" sheetId="2" r:id="rId2"/>
  </sheets>
  <functionGroups builtInGroupCount="19"/>
  <definedNames>
    <definedName name="_anio_ingreso">'Plan de Estudio'!$Q$4</definedName>
    <definedName name="_cmb_lista_materias">Control!$M$109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3" localSheetId="1" hidden="1">Control!#REF!</definedName>
    <definedName name="DatosExternos_4" localSheetId="1" hidden="1">Control!$AA$222:$AB$224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1" i="1" l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AA12" i="1"/>
  <c r="Z1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D18" i="2"/>
  <c r="F61" i="1"/>
  <c r="N61" i="1"/>
  <c r="O61" i="1"/>
  <c r="P61" i="1"/>
  <c r="Q61" i="1"/>
  <c r="T61" i="1"/>
  <c r="U61" i="1"/>
  <c r="V61" i="1"/>
  <c r="W61" i="1"/>
  <c r="X61" i="1"/>
  <c r="AB61" i="1"/>
  <c r="F60" i="1"/>
  <c r="N60" i="1"/>
  <c r="O60" i="1"/>
  <c r="P60" i="1"/>
  <c r="Q60" i="1"/>
  <c r="T60" i="1"/>
  <c r="U60" i="1"/>
  <c r="V60" i="1"/>
  <c r="W60" i="1"/>
  <c r="X60" i="1"/>
  <c r="AB60" i="1"/>
  <c r="F54" i="1"/>
  <c r="F55" i="1"/>
  <c r="F56" i="1"/>
  <c r="F57" i="1"/>
  <c r="F58" i="1"/>
  <c r="F59" i="1"/>
  <c r="N54" i="1"/>
  <c r="N55" i="1"/>
  <c r="N56" i="1"/>
  <c r="N57" i="1"/>
  <c r="N58" i="1"/>
  <c r="N59" i="1"/>
  <c r="O54" i="1"/>
  <c r="O55" i="1"/>
  <c r="O56" i="1"/>
  <c r="O57" i="1"/>
  <c r="O58" i="1"/>
  <c r="O59" i="1"/>
  <c r="P54" i="1"/>
  <c r="P55" i="1"/>
  <c r="P56" i="1"/>
  <c r="P57" i="1"/>
  <c r="P58" i="1"/>
  <c r="P59" i="1"/>
  <c r="Q54" i="1"/>
  <c r="Q55" i="1"/>
  <c r="Q56" i="1"/>
  <c r="Q57" i="1"/>
  <c r="Q58" i="1"/>
  <c r="Q59" i="1"/>
  <c r="T54" i="1"/>
  <c r="T55" i="1"/>
  <c r="T56" i="1"/>
  <c r="T57" i="1"/>
  <c r="T58" i="1"/>
  <c r="T59" i="1"/>
  <c r="U54" i="1"/>
  <c r="U55" i="1"/>
  <c r="U56" i="1"/>
  <c r="U57" i="1"/>
  <c r="U58" i="1"/>
  <c r="U59" i="1"/>
  <c r="V54" i="1"/>
  <c r="V55" i="1"/>
  <c r="V56" i="1"/>
  <c r="V57" i="1"/>
  <c r="V58" i="1"/>
  <c r="V59" i="1"/>
  <c r="W54" i="1"/>
  <c r="W55" i="1"/>
  <c r="W56" i="1"/>
  <c r="W57" i="1"/>
  <c r="W58" i="1"/>
  <c r="W59" i="1"/>
  <c r="X54" i="1"/>
  <c r="X55" i="1"/>
  <c r="X56" i="1"/>
  <c r="X57" i="1"/>
  <c r="X58" i="1"/>
  <c r="X59" i="1"/>
  <c r="AB54" i="1"/>
  <c r="AB55" i="1"/>
  <c r="AB56" i="1"/>
  <c r="AB57" i="1"/>
  <c r="AB58" i="1"/>
  <c r="AB59" i="1"/>
  <c r="F53" i="1"/>
  <c r="N53" i="1"/>
  <c r="O53" i="1"/>
  <c r="P53" i="1"/>
  <c r="Q53" i="1"/>
  <c r="T53" i="1"/>
  <c r="U53" i="1"/>
  <c r="V53" i="1"/>
  <c r="W53" i="1"/>
  <c r="X53" i="1"/>
  <c r="AB53" i="1"/>
  <c r="F52" i="1"/>
  <c r="N52" i="1"/>
  <c r="O52" i="1"/>
  <c r="P52" i="1"/>
  <c r="Q52" i="1"/>
  <c r="T52" i="1"/>
  <c r="U52" i="1"/>
  <c r="V52" i="1"/>
  <c r="W52" i="1"/>
  <c r="X52" i="1"/>
  <c r="AB52" i="1"/>
  <c r="G9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AC61" i="1" l="1"/>
  <c r="AC60" i="1"/>
  <c r="AC57" i="1"/>
  <c r="AC56" i="1"/>
  <c r="AC54" i="1"/>
  <c r="AC55" i="1"/>
  <c r="AC59" i="1"/>
  <c r="AC58" i="1"/>
  <c r="AC53" i="1"/>
  <c r="AC52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I23" i="2"/>
  <c r="D6" i="2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H9" i="1"/>
  <c r="I18" i="2"/>
  <c r="AB15" i="1"/>
  <c r="AB14" i="1"/>
  <c r="AB13" i="1"/>
  <c r="AB12" i="1"/>
  <c r="N8" i="2"/>
  <c r="J24" i="1" l="1"/>
  <c r="J49" i="1"/>
  <c r="J50" i="1"/>
  <c r="J33" i="1"/>
  <c r="J41" i="1"/>
  <c r="J25" i="1"/>
  <c r="J16" i="1"/>
  <c r="J12" i="1"/>
  <c r="J19" i="1"/>
  <c r="J59" i="1"/>
  <c r="J31" i="1"/>
  <c r="J23" i="1"/>
  <c r="J14" i="1"/>
  <c r="J47" i="1"/>
  <c r="J28" i="1"/>
  <c r="J20" i="1"/>
  <c r="J35" i="1"/>
  <c r="J27" i="1"/>
  <c r="J18" i="1"/>
  <c r="J42" i="1"/>
  <c r="J34" i="1"/>
  <c r="J26" i="1"/>
  <c r="J17" i="1"/>
  <c r="J48" i="1"/>
  <c r="J40" i="1"/>
  <c r="J32" i="1"/>
  <c r="J15" i="1"/>
  <c r="J60" i="1"/>
  <c r="J54" i="1"/>
  <c r="J46" i="1"/>
  <c r="J38" i="1"/>
  <c r="J30" i="1"/>
  <c r="J22" i="1"/>
  <c r="J13" i="1"/>
  <c r="J58" i="1"/>
  <c r="J45" i="1"/>
  <c r="J37" i="1"/>
  <c r="J29" i="1"/>
  <c r="J21" i="1"/>
  <c r="J39" i="1"/>
  <c r="J44" i="1"/>
  <c r="J36" i="1"/>
  <c r="J61" i="1"/>
  <c r="J51" i="1"/>
  <c r="J43" i="1"/>
  <c r="J55" i="1"/>
  <c r="J52" i="1"/>
  <c r="J57" i="1"/>
  <c r="J53" i="1"/>
  <c r="J56" i="1"/>
  <c r="D20" i="2"/>
  <c r="E20" i="2" s="1"/>
  <c r="D21" i="2"/>
  <c r="D15" i="2"/>
  <c r="I6" i="2"/>
  <c r="I15" i="2"/>
  <c r="M109" i="2" a="1"/>
  <c r="M109" i="2" s="1"/>
  <c r="AC12" i="1"/>
  <c r="AC20" i="1"/>
  <c r="AC16" i="1"/>
  <c r="AC13" i="1"/>
  <c r="AC15" i="1"/>
  <c r="AC14" i="1"/>
  <c r="AC17" i="1"/>
  <c r="AC19" i="1"/>
  <c r="AC18" i="1"/>
  <c r="D8" i="2"/>
  <c r="E8" i="2" s="1"/>
  <c r="D9" i="2"/>
  <c r="E9" i="2" s="1"/>
  <c r="AC32" i="1"/>
  <c r="AC47" i="1"/>
  <c r="I21" i="2"/>
  <c r="J21" i="2" s="1"/>
  <c r="I20" i="2"/>
  <c r="J20" i="2" s="1"/>
  <c r="D7" i="2" l="1"/>
  <c r="E7" i="2" s="1"/>
  <c r="AC45" i="1"/>
  <c r="AC48" i="1"/>
  <c r="AC35" i="1"/>
  <c r="AC21" i="1"/>
  <c r="I19" i="2"/>
  <c r="J19" i="2" s="1"/>
  <c r="D19" i="2"/>
  <c r="E19" i="2" s="1"/>
  <c r="E21" i="2"/>
  <c r="AC41" i="1" l="1"/>
  <c r="AC42" i="1"/>
  <c r="AC28" i="1"/>
  <c r="AC44" i="1"/>
  <c r="AC30" i="1"/>
  <c r="AC49" i="1"/>
  <c r="AC38" i="1"/>
  <c r="AC36" i="1"/>
  <c r="AC46" i="1"/>
  <c r="AC31" i="1"/>
  <c r="AC27" i="1"/>
  <c r="AC50" i="1"/>
  <c r="AC24" i="1"/>
  <c r="AC29" i="1"/>
  <c r="AC37" i="1"/>
  <c r="AC22" i="1"/>
  <c r="AC33" i="1"/>
  <c r="AC39" i="1"/>
  <c r="AC26" i="1"/>
  <c r="AC25" i="1"/>
  <c r="AC34" i="1"/>
  <c r="AC23" i="1"/>
  <c r="AC40" i="1"/>
  <c r="AC43" i="1"/>
  <c r="AC51" i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<sst xmlns="http://schemas.openxmlformats.org/spreadsheetml/2006/main" count="1110" uniqueCount="139">
  <si>
    <t>Numero</t>
  </si>
  <si>
    <t>Materia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</si>
  <si>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</si>
  <si>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</si>
  <si>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</si>
  <si>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</si>
  <si>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</si>
  <si>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</si>
  <si>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</si>
  <si>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</si>
  <si>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</si>
  <si>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</si>
  <si>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</si>
  <si>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</si>
  <si>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</si>
  <si>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</si>
  <si>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</si>
  <si>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</si>
  <si>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</si>
  <si>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</si>
  <si>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</si>
  <si>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</si>
  <si>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</si>
  <si>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</si>
  <si>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Legislación</t>
  </si>
  <si>
    <t>Ingeniería y Sociedad</t>
  </si>
  <si>
    <t>E-1</t>
  </si>
  <si>
    <t>E-2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</si>
  <si>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</si>
  <si>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</si>
  <si>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</si>
  <si>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</si>
  <si>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</si>
  <si>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</si>
  <si>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</si>
  <si>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</si>
  <si>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</si>
  <si>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</si>
  <si>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</si>
  <si>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</si>
  <si>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</si>
  <si>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</si>
  <si>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</si>
  <si>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</si>
  <si>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</si>
  <si>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</si>
  <si>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</si>
  <si>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</si>
  <si>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</si>
  <si>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</si>
  <si>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</si>
  <si>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</si>
  <si>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</si>
  <si>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</si>
  <si>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</si>
  <si>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</si>
  <si>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</si>
  <si>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</si>
  <si>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</si>
  <si>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</si>
  <si>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</si>
  <si>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</si>
  <si>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</si>
  <si>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</si>
  <si>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</si>
  <si>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</si>
  <si>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</si>
  <si>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</si>
  <si>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</si>
  <si>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</si>
  <si>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</si>
  <si>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</si>
  <si>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</si>
  <si>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</si>
  <si>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</si>
  <si>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</si>
  <si>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</si>
  <si>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</si>
  <si>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</si>
  <si>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</si>
  <si>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</si>
  <si>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</si>
  <si>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</si>
  <si>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</si>
  <si>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Materias Faltantes Para Técnico</t>
  </si>
  <si>
    <t>Álgebra y Geometría Analítica</t>
  </si>
  <si>
    <t>Química General</t>
  </si>
  <si>
    <t>Probabilidad y Estadística</t>
  </si>
  <si>
    <t>R5</t>
  </si>
  <si>
    <t>A5</t>
  </si>
  <si>
    <t>A6</t>
  </si>
  <si>
    <t>Ing. Metalurgica Plan de Estudio UTN FRC 2025</t>
  </si>
  <si>
    <t>Sistemas de Representación</t>
  </si>
  <si>
    <t>Fundamentos de Informática</t>
  </si>
  <si>
    <t>Mecánica de los Fluidos</t>
  </si>
  <si>
    <t>A7</t>
  </si>
  <si>
    <t>A8</t>
  </si>
  <si>
    <t>Termodinámica Metalúrgica</t>
  </si>
  <si>
    <t>Química Inorgánica y Orgánica</t>
  </si>
  <si>
    <t>Técnicas de Análisis</t>
  </si>
  <si>
    <t>Mineralogía y Tratamiento de los Minerales</t>
  </si>
  <si>
    <t>Higiene y seguridad e ingeniería ambiental</t>
  </si>
  <si>
    <t>Estabilidad y Resistencia de los Materiales</t>
  </si>
  <si>
    <t>Fisicoquímica Metalúrgica</t>
  </si>
  <si>
    <t>Instalaciones Térmicas Metalúrgicas</t>
  </si>
  <si>
    <t>Ciencia de los Materiales</t>
  </si>
  <si>
    <t>Ensayo de Materiales</t>
  </si>
  <si>
    <t>Técnicas de Estudio Aplicada a Materiales</t>
  </si>
  <si>
    <t>Taller de Integración</t>
  </si>
  <si>
    <t>Metalurgia Extractivas de los No Ferrosos</t>
  </si>
  <si>
    <t>Refractarios y Cerámicos</t>
  </si>
  <si>
    <t>Gestión y Organización Empresarial</t>
  </si>
  <si>
    <t>Cálculo y Modelización Numérica</t>
  </si>
  <si>
    <t>Soldadura</t>
  </si>
  <si>
    <t>Procesos de Conformación Plástica</t>
  </si>
  <si>
    <t>Procesos de Reducción y Aceleración</t>
  </si>
  <si>
    <t>Modelización de los Procesos Metalúrgicos</t>
  </si>
  <si>
    <t>Reciclado y Economía Circular</t>
  </si>
  <si>
    <t>Avances en Metalurgia y Nuevos Materiales</t>
  </si>
  <si>
    <t>Ingeniería Gerencial</t>
  </si>
  <si>
    <t>R6</t>
  </si>
  <si>
    <t>Total (7)</t>
  </si>
  <si>
    <t>Electrotecnia y sistemas de control en plantas industriales</t>
  </si>
  <si>
    <t>Degradación, Corrosión y Protección de Materiales</t>
  </si>
  <si>
    <t>Pulvimetalurgia y Recubrimiento de Materiales</t>
  </si>
  <si>
    <t>Metalografía y Tratamiento Térmico de los Ferrosos</t>
  </si>
  <si>
    <t>Fundición de los Metales Ferrosos y No Ferrosos</t>
  </si>
  <si>
    <t>Metalografía y Tratamiento Térmico de los No Ferrosos</t>
  </si>
  <si>
    <t>Metalurgia de la Laminación y Productos Especiales</t>
  </si>
  <si>
    <t>Análisis Matemático 1</t>
  </si>
  <si>
    <t>Física 1</t>
  </si>
  <si>
    <t>Ingeniería de los Procesos 1</t>
  </si>
  <si>
    <t>Inglés 1</t>
  </si>
  <si>
    <t>Física 2</t>
  </si>
  <si>
    <t>Ingeniería de los Procesos 2</t>
  </si>
  <si>
    <t>Análisis Matemático 2</t>
  </si>
  <si>
    <t>Inglés 2</t>
  </si>
  <si>
    <t>Metalúrgica Física 1</t>
  </si>
  <si>
    <t>Metalurgia Física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</si>
</sst>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292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7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8" xfId="0" applyBorder="1"/>
    <xf numFmtId="0" fontId="0" fillId="0" borderId="11" xfId="0" applyBorder="1"/>
    <xf numFmtId="0" fontId="0" fillId="0" borderId="29" xfId="0" applyBorder="1"/>
    <xf numFmtId="0" fontId="0" fillId="0" borderId="27" xfId="0" applyBorder="1" applyAlignment="1">
      <alignment horizontal="center" vertical="center"/>
    </xf>
    <xf numFmtId="0" fontId="0" fillId="0" borderId="20" xfId="0" applyBorder="1"/>
    <xf numFmtId="0" fontId="0" fillId="0" borderId="22" xfId="0" applyBorder="1"/>
    <xf numFmtId="0" fontId="0" fillId="0" borderId="30" xfId="0" applyBorder="1"/>
    <xf numFmtId="0" fontId="17" fillId="0" borderId="31" xfId="0" applyFont="1" applyBorder="1" applyAlignment="1" applyProtection="1">
      <alignment horizontal="center" vertical="center"/>
      <protection locked="0"/>
    </xf>
    <xf numFmtId="0" fontId="0" fillId="0" borderId="31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3" borderId="34" xfId="0" applyFont="1" applyFill="1" applyBorder="1"/>
    <xf numFmtId="0" fontId="0" fillId="0" borderId="34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5" borderId="33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6" borderId="5" xfId="0" applyFont="1" applyFill="1" applyBorder="1" applyAlignment="1">
      <alignment horizontal="center" vertical="center" wrapText="1"/>
    </xf>
    <xf numFmtId="0" fontId="17" fillId="24" borderId="33" xfId="0" applyFont="1" applyFill="1" applyBorder="1" applyAlignment="1">
      <alignment horizontal="center" vertical="center" wrapText="1"/>
    </xf>
    <xf numFmtId="0" fontId="16" fillId="24" borderId="3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16" fillId="18" borderId="0" xfId="1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1" borderId="0" xfId="0" applyFont="1" applyFill="1" applyBorder="1" applyAlignment="1">
      <alignment horizontal="left" vertical="center" wrapText="1"/>
    </xf>
    <xf numFmtId="0" fontId="5" fillId="17" borderId="15" xfId="3" applyFont="1" applyFill="1" applyBorder="1" applyAlignment="1">
      <alignment horizontal="center" vertical="center"/>
    </xf>
    <xf numFmtId="0" fontId="5" fillId="17" borderId="10" xfId="3" applyFont="1" applyFill="1" applyBorder="1" applyAlignment="1">
      <alignment horizontal="center" vertical="center"/>
    </xf>
    <xf numFmtId="0" fontId="5" fillId="18" borderId="15" xfId="2" applyFont="1" applyFill="1" applyBorder="1" applyAlignment="1">
      <alignment horizontal="center" vertical="center"/>
    </xf>
    <xf numFmtId="0" fontId="5" fillId="18" borderId="10" xfId="2" applyFont="1" applyFill="1" applyBorder="1" applyAlignment="1">
      <alignment horizontal="center" vertical="center"/>
    </xf>
    <xf numFmtId="0" fontId="5" fillId="18" borderId="23" xfId="2" applyFont="1" applyFill="1" applyBorder="1" applyAlignment="1">
      <alignment horizontal="center" vertical="center"/>
    </xf>
    <xf numFmtId="0" fontId="5" fillId="22" borderId="4" xfId="2" applyFont="1" applyFill="1" applyBorder="1" applyAlignment="1">
      <alignment horizontal="center" vertical="center"/>
    </xf>
    <xf numFmtId="0" fontId="5" fillId="22" borderId="0" xfId="2" applyFont="1" applyFill="1" applyBorder="1" applyAlignment="1">
      <alignment horizontal="center" vertical="center"/>
    </xf>
    <xf numFmtId="0" fontId="5" fillId="22" borderId="19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9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0" borderId="31" xfId="0" applyBorder="1" applyAlignment="1">
      <alignment horizontal="center" vertical="center" wrapText="1"/>
    </xf>
    <xf numFmtId="0" fontId="5" fillId="16" borderId="4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19" xfId="2" applyFont="1" applyFill="1" applyBorder="1" applyAlignment="1">
      <alignment horizontal="center" vertical="center"/>
    </xf>
    <xf numFmtId="0" fontId="5" fillId="21" borderId="19" xfId="2" applyFont="1" applyFill="1" applyBorder="1" applyAlignment="1">
      <alignment horizontal="center" vertical="center"/>
    </xf>
    <xf numFmtId="0" fontId="5" fillId="17" borderId="19" xfId="3" applyFont="1" applyFill="1" applyBorder="1" applyAlignment="1">
      <alignment horizontal="center" vertical="center"/>
    </xf>
    <xf numFmtId="0" fontId="5" fillId="16" borderId="19" xfId="2" applyFont="1" applyFill="1" applyBorder="1" applyAlignment="1">
      <alignment horizontal="center" vertical="center"/>
    </xf>
    <xf numFmtId="0" fontId="5" fillId="18" borderId="19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6" xfId="2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21" borderId="22" xfId="2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21" borderId="21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3" xfId="3" applyFont="1" applyFill="1" applyBorder="1" applyAlignment="1">
      <alignment horizontal="center" vertical="center"/>
    </xf>
    <xf numFmtId="0" fontId="5" fillId="17" borderId="14" xfId="3" applyFont="1" applyFill="1" applyBorder="1" applyAlignment="1">
      <alignment horizontal="center" vertical="center"/>
    </xf>
    <xf numFmtId="0" fontId="5" fillId="21" borderId="25" xfId="2" applyFont="1" applyFill="1" applyBorder="1" applyAlignment="1">
      <alignment horizontal="center" vertical="center"/>
    </xf>
    <xf numFmtId="0" fontId="5" fillId="15" borderId="18" xfId="2" applyFont="1" applyFill="1" applyBorder="1" applyAlignment="1">
      <alignment horizontal="center" vertical="center"/>
    </xf>
    <xf numFmtId="0" fontId="5" fillId="17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21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21" borderId="0" xfId="0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>
      <alignment horizontal="center" vertical="center"/>
    </xf>
    <xf numFmtId="0" fontId="1" fillId="25" borderId="33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5" fillId="18" borderId="6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16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18" borderId="24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17" borderId="16" xfId="3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5" fillId="18" borderId="21" xfId="2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8" borderId="25" xfId="2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center" vertical="center"/>
    </xf>
    <xf numFmtId="1" fontId="5" fillId="22" borderId="6" xfId="1" applyNumberFormat="1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left" vertical="center" wrapText="1"/>
    </xf>
    <xf numFmtId="0" fontId="5" fillId="22" borderId="6" xfId="1" applyFont="1" applyFill="1" applyBorder="1" applyAlignment="1" applyProtection="1">
      <alignment horizontal="center" vertical="center"/>
      <protection locked="0"/>
    </xf>
    <xf numFmtId="1" fontId="5" fillId="22" borderId="6" xfId="1" applyNumberFormat="1" applyFont="1" applyFill="1" applyBorder="1" applyAlignment="1" applyProtection="1">
      <alignment horizontal="center" vertical="center"/>
      <protection locked="0"/>
    </xf>
    <xf numFmtId="0" fontId="5" fillId="22" borderId="5" xfId="2" applyFont="1" applyFill="1" applyBorder="1" applyAlignment="1">
      <alignment horizontal="center" vertical="center"/>
    </xf>
    <xf numFmtId="0" fontId="5" fillId="22" borderId="6" xfId="2" applyFont="1" applyFill="1" applyBorder="1" applyAlignment="1">
      <alignment horizontal="center" vertical="center"/>
    </xf>
    <xf numFmtId="0" fontId="5" fillId="22" borderId="18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5" fillId="17" borderId="2" xfId="3" applyFont="1" applyFill="1" applyBorder="1" applyAlignment="1">
      <alignment horizontal="left" vertical="center"/>
    </xf>
    <xf numFmtId="0" fontId="5" fillId="17" borderId="0" xfId="3" applyFont="1" applyFill="1" applyBorder="1" applyAlignment="1">
      <alignment horizontal="left" vertical="center"/>
    </xf>
    <xf numFmtId="0" fontId="5" fillId="17" borderId="6" xfId="3" applyFont="1" applyFill="1" applyBorder="1" applyAlignment="1">
      <alignment horizontal="left" vertical="center"/>
    </xf>
    <xf numFmtId="0" fontId="5" fillId="15" borderId="0" xfId="2" applyFont="1" applyFill="1" applyBorder="1" applyAlignment="1">
      <alignment horizontal="left" vertical="center"/>
    </xf>
    <xf numFmtId="0" fontId="5" fillId="15" borderId="6" xfId="2" applyFont="1" applyFill="1" applyBorder="1" applyAlignment="1">
      <alignment horizontal="left" vertical="center"/>
    </xf>
    <xf numFmtId="0" fontId="5" fillId="18" borderId="0" xfId="1" applyFont="1" applyFill="1" applyBorder="1" applyAlignment="1">
      <alignment horizontal="left" vertical="center"/>
    </xf>
    <xf numFmtId="0" fontId="5" fillId="18" borderId="6" xfId="1" applyFont="1" applyFill="1" applyBorder="1" applyAlignment="1">
      <alignment horizontal="left" vertical="center"/>
    </xf>
    <xf numFmtId="0" fontId="5" fillId="22" borderId="0" xfId="1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left" vertical="center"/>
    </xf>
    <xf numFmtId="0" fontId="5" fillId="16" borderId="0" xfId="0" applyFont="1" applyFill="1" applyBorder="1" applyAlignment="1">
      <alignment horizontal="left" vertical="center"/>
    </xf>
    <xf numFmtId="0" fontId="5" fillId="21" borderId="0" xfId="0" applyFont="1" applyFill="1" applyBorder="1" applyAlignment="1">
      <alignment horizontal="left" vertical="center"/>
    </xf>
    <xf numFmtId="0" fontId="5" fillId="16" borderId="26" xfId="0" applyFont="1" applyFill="1" applyBorder="1" applyAlignment="1">
      <alignment horizontal="center" vertical="center"/>
    </xf>
    <xf numFmtId="1" fontId="5" fillId="16" borderId="26" xfId="0" applyNumberFormat="1" applyFont="1" applyFill="1" applyBorder="1" applyAlignment="1">
      <alignment horizontal="center" vertical="center"/>
    </xf>
    <xf numFmtId="0" fontId="5" fillId="16" borderId="26" xfId="0" applyFont="1" applyFill="1" applyBorder="1" applyAlignment="1">
      <alignment horizontal="left" vertical="center"/>
    </xf>
    <xf numFmtId="0" fontId="5" fillId="16" borderId="26" xfId="0" applyFont="1" applyFill="1" applyBorder="1" applyAlignment="1">
      <alignment horizontal="left" vertical="center" wrapText="1"/>
    </xf>
    <xf numFmtId="0" fontId="5" fillId="16" borderId="26" xfId="0" applyFont="1" applyFill="1" applyBorder="1" applyAlignment="1" applyProtection="1">
      <alignment horizontal="center" vertical="center"/>
      <protection locked="0"/>
    </xf>
    <xf numFmtId="1" fontId="5" fillId="16" borderId="26" xfId="0" applyNumberFormat="1" applyFont="1" applyFill="1" applyBorder="1" applyAlignment="1" applyProtection="1">
      <alignment horizontal="center" vertical="center"/>
      <protection locked="0"/>
    </xf>
    <xf numFmtId="0" fontId="5" fillId="16" borderId="37" xfId="2" applyFont="1" applyFill="1" applyBorder="1" applyAlignment="1">
      <alignment horizontal="center" vertical="center"/>
    </xf>
    <xf numFmtId="0" fontId="5" fillId="16" borderId="26" xfId="2" applyFont="1" applyFill="1" applyBorder="1" applyAlignment="1">
      <alignment horizontal="center" vertical="center"/>
    </xf>
    <xf numFmtId="0" fontId="5" fillId="16" borderId="36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31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5" fillId="21" borderId="0" xfId="2" applyFont="1" applyFill="1" applyBorder="1" applyAlignment="1">
      <alignment horizontal="center" vertical="center"/>
    </xf>
    <xf numFmtId="0" fontId="23" fillId="5" borderId="35" xfId="0" applyFont="1" applyFill="1" applyBorder="1" applyAlignment="1">
      <alignment horizontal="left" vertical="center" wrapText="1"/>
    </xf>
    <xf numFmtId="0" fontId="0" fillId="0" borderId="0" xfId="0" applyNumberFormat="1" applyFill="1" applyBorder="1"/>
    <xf numFmtId="0" fontId="4" fillId="0" borderId="0" xfId="0" applyFont="1" applyAlignment="1">
      <alignment horizontal="left" vertical="center" wrapText="1"/>
    </xf>
    <xf numFmtId="0" fontId="4" fillId="5" borderId="35" xfId="0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0" fillId="0" borderId="0" xfId="0" applyNumberFormat="1" applyFont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5" fillId="18" borderId="0" xfId="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5" fillId="18" borderId="6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left" vertical="center" wrapText="1"/>
    </xf>
    <xf numFmtId="0" fontId="5" fillId="15" borderId="5" xfId="2" applyFont="1" applyFill="1" applyBorder="1" applyAlignment="1">
      <alignment horizontal="center" vertical="center"/>
    </xf>
    <xf numFmtId="0" fontId="5" fillId="17" borderId="1" xfId="3" applyFont="1" applyFill="1" applyBorder="1" applyAlignment="1">
      <alignment horizontal="center" vertical="center"/>
    </xf>
    <xf numFmtId="0" fontId="5" fillId="6" borderId="2" xfId="2" applyFont="1" applyFill="1" applyBorder="1" applyAlignment="1">
      <alignment horizontal="center" vertical="center"/>
    </xf>
    <xf numFmtId="0" fontId="5" fillId="17" borderId="4" xfId="3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17" borderId="5" xfId="3" applyFont="1" applyFill="1" applyBorder="1" applyAlignment="1">
      <alignment horizontal="center" vertical="center"/>
    </xf>
    <xf numFmtId="0" fontId="5" fillId="18" borderId="4" xfId="1" applyFont="1" applyFill="1" applyBorder="1" applyAlignment="1">
      <alignment horizontal="center" vertical="center"/>
    </xf>
    <xf numFmtId="0" fontId="5" fillId="18" borderId="5" xfId="1" applyFont="1" applyFill="1" applyBorder="1" applyAlignment="1">
      <alignment horizontal="center" vertical="center"/>
    </xf>
    <xf numFmtId="0" fontId="5" fillId="22" borderId="4" xfId="1" applyFont="1" applyFill="1" applyBorder="1" applyAlignment="1">
      <alignment horizontal="center" vertical="center"/>
    </xf>
    <xf numFmtId="0" fontId="5" fillId="22" borderId="5" xfId="1" applyFont="1" applyFill="1" applyBorder="1" applyAlignment="1">
      <alignment horizontal="center" vertical="center"/>
    </xf>
    <xf numFmtId="0" fontId="5" fillId="16" borderId="4" xfId="0" applyFont="1" applyFill="1" applyBorder="1" applyAlignment="1">
      <alignment horizontal="center" vertical="center"/>
    </xf>
    <xf numFmtId="0" fontId="5" fillId="16" borderId="37" xfId="0" applyFont="1" applyFill="1" applyBorder="1" applyAlignment="1">
      <alignment horizontal="center" vertical="center"/>
    </xf>
    <xf numFmtId="0" fontId="5" fillId="21" borderId="4" xfId="0" applyFont="1" applyFill="1" applyBorder="1" applyAlignment="1">
      <alignment horizontal="center" vertical="center"/>
    </xf>
    <xf numFmtId="0" fontId="0" fillId="0" borderId="2" xfId="0" applyBorder="1"/>
    <xf numFmtId="0" fontId="5" fillId="21" borderId="4" xfId="2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5" borderId="9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4" borderId="8" xfId="0" applyFont="1" applyFill="1" applyBorder="1" applyAlignment="1">
      <alignment horizontal="center" vertical="center" wrapText="1"/>
    </xf>
    <xf numFmtId="0" fontId="16" fillId="24" borderId="9" xfId="0" applyFont="1" applyFill="1" applyBorder="1" applyAlignment="1">
      <alignment horizontal="center" vertical="center" wrapText="1"/>
    </xf>
    <xf numFmtId="0" fontId="16" fillId="24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 vertical="center"/>
    </xf>
    <xf numFmtId="0" fontId="17" fillId="26" borderId="8" xfId="0" applyFont="1" applyFill="1" applyBorder="1" applyAlignment="1">
      <alignment horizontal="center" vertical="center" wrapText="1"/>
    </xf>
    <xf numFmtId="0" fontId="17" fillId="26" borderId="9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 applyProtection="1">
      <alignment horizontal="center" vertical="center"/>
      <protection locked="0"/>
    </xf>
    <xf numFmtId="0" fontId="7" fillId="25" borderId="9" xfId="0" applyFont="1" applyFill="1" applyBorder="1" applyAlignment="1" applyProtection="1">
      <alignment horizontal="center" vertical="center"/>
      <protection locked="0"/>
    </xf>
    <xf numFmtId="0" fontId="7" fillId="25" borderId="12" xfId="0" applyFont="1" applyFill="1" applyBorder="1" applyAlignment="1" applyProtection="1">
      <alignment horizontal="center" vertical="center"/>
      <protection locked="0"/>
    </xf>
    <xf numFmtId="0" fontId="7" fillId="24" borderId="8" xfId="0" applyFont="1" applyFill="1" applyBorder="1" applyAlignment="1">
      <alignment horizontal="center" vertical="center"/>
    </xf>
    <xf numFmtId="0" fontId="7" fillId="24" borderId="9" xfId="0" applyFont="1" applyFill="1" applyBorder="1" applyAlignment="1">
      <alignment horizontal="center" vertical="center"/>
    </xf>
    <xf numFmtId="0" fontId="7" fillId="24" borderId="12" xfId="0" applyFont="1" applyFill="1" applyBorder="1" applyAlignment="1">
      <alignment horizontal="center" vertical="center"/>
    </xf>
    <xf numFmtId="0" fontId="4" fillId="26" borderId="8" xfId="0" applyFont="1" applyFill="1" applyBorder="1" applyAlignment="1" applyProtection="1">
      <alignment horizontal="center" vertical="center" wrapText="1"/>
      <protection locked="0"/>
    </xf>
    <xf numFmtId="0" fontId="4" fillId="26" borderId="9" xfId="0" applyFont="1" applyFill="1" applyBorder="1" applyAlignment="1" applyProtection="1">
      <alignment horizontal="center" vertical="center" wrapText="1"/>
      <protection locked="0"/>
    </xf>
    <xf numFmtId="0" fontId="4" fillId="26" borderId="1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38" xfId="1" applyFont="1" applyFill="1" applyBorder="1" applyAlignment="1">
      <alignment horizontal="center" vertical="center"/>
    </xf>
    <xf numFmtId="0" fontId="4" fillId="0" borderId="32" xfId="1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5" fillId="20" borderId="38" xfId="0" applyFont="1" applyFill="1" applyBorder="1" applyAlignment="1">
      <alignment horizontal="center" vertical="center"/>
    </xf>
    <xf numFmtId="0" fontId="5" fillId="20" borderId="3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  <xf numFmtId="0" fontId="28" fillId="18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38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18" fillId="10" borderId="38" xfId="0" applyFont="1" applyFill="1" applyBorder="1" applyAlignment="1">
      <alignment horizontal="center" vertical="center"/>
    </xf>
    <xf numFmtId="0" fontId="18" fillId="10" borderId="32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19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5" fillId="0" borderId="38" xfId="1" applyFont="1" applyFill="1" applyBorder="1" applyAlignment="1">
      <alignment horizontal="center" vertical="center"/>
    </xf>
    <xf numFmtId="0" fontId="5" fillId="0" borderId="32" xfId="1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103"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240834</xdr:colOff>
      <xdr:row>2</xdr:row>
      <xdr:rowOff>24848</xdr:rowOff>
    </xdr:from>
    <xdr:to>
      <xdr:col>33</xdr:col>
      <xdr:colOff>134938</xdr:colOff>
      <xdr:row>24</xdr:row>
      <xdr:rowOff>104605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3658660" y="704022"/>
          <a:ext cx="4408126" cy="5711931"/>
          <a:chOff x="12198569" y="893379"/>
          <a:chExt cx="4402648" cy="10418021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608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402648" cy="10418021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95094" y="4711939"/>
            <a:ext cx="898713" cy="641290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9" y="4731901"/>
            <a:ext cx="898713" cy="64129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4" y="7958015"/>
            <a:ext cx="898713" cy="64129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201629</xdr:colOff>
      <xdr:row>6</xdr:row>
      <xdr:rowOff>19817</xdr:rowOff>
    </xdr:from>
    <xdr:to>
      <xdr:col>15</xdr:col>
      <xdr:colOff>215373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40759" y="1866839"/>
          <a:ext cx="510701" cy="525853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3971305</xdr:colOff>
      <xdr:row>3</xdr:row>
      <xdr:rowOff>18214</xdr:rowOff>
    </xdr:from>
    <xdr:to>
      <xdr:col>5</xdr:col>
      <xdr:colOff>222215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3971305</xdr:colOff>
      <xdr:row>6</xdr:row>
      <xdr:rowOff>257916</xdr:rowOff>
    </xdr:from>
    <xdr:to>
      <xdr:col>5</xdr:col>
      <xdr:colOff>222215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6</xdr:row>
      <xdr:rowOff>16743</xdr:rowOff>
    </xdr:from>
    <xdr:to>
      <xdr:col>4</xdr:col>
      <xdr:colOff>3854164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616399</xdr:colOff>
      <xdr:row>3</xdr:row>
      <xdr:rowOff>18214</xdr:rowOff>
    </xdr:from>
    <xdr:to>
      <xdr:col>4</xdr:col>
      <xdr:colOff>3854164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4457928</xdr:colOff>
      <xdr:row>3</xdr:row>
      <xdr:rowOff>2842</xdr:rowOff>
    </xdr:from>
    <xdr:to>
      <xdr:col>4</xdr:col>
      <xdr:colOff>4752091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2</xdr:row>
          <xdr:rowOff>180975</xdr:rowOff>
        </xdr:from>
        <xdr:to>
          <xdr:col>12</xdr:col>
          <xdr:colOff>276225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D61" totalsRowShown="0" headerRowDxfId="102" dataDxfId="100" headerRowBorderDxfId="101" tableBorderDxfId="99">
  <autoFilter ref="B11:AD61" xr:uid="{79DE02F8-A7E4-4E62-A88C-FB36C786FBA6}"/>
  <sortState xmlns:xlrd2="http://schemas.microsoft.com/office/spreadsheetml/2017/richdata2" ref="B12:AD61">
    <sortCondition ref="AD12:AD61"/>
  </sortState>
  <tableColumns count="29">
    <tableColumn id="1" xr3:uid="{A24D5FA6-E447-4A60-BA76-E48B47DF6268}" name="Numero" dataDxfId="98"/>
    <tableColumn id="5" xr3:uid="{41D6DF65-D806-4685-B39B-97EEEBC6388E}" name="Codigo" dataDxfId="97"/>
    <tableColumn id="22" xr3:uid="{3E504640-98A8-4713-94D4-B026959A359F}" name="Nivel" dataDxfId="96"/>
    <tableColumn id="2" xr3:uid="{F93819E9-0871-4C42-AF48-CDBD4E884339}" name="Materia" dataDxfId="95"/>
    <tableColumn id="6" xr3:uid="{772036BF-1C2E-4AD0-985E-565A762A39C4}" name="Icono" dataDxfId="94">
      <calculatedColumnFormula>_xlfn.XLOOKUP(Tabla1[[#This Row],[Estado]],Control!$C$32:$C$34,Control!$B$32:$B$34,"")</calculatedColumnFormula>
    </tableColumn>
    <tableColumn id="10" xr3:uid="{474D2529-3166-45BF-8B3E-D040442EFC54}" name="Estado" dataDxfId="93"/>
    <tableColumn id="4" xr3:uid="{9F7C669A-5795-4BB7-8E16-3107D2BFF0BE}" name="Nota" dataDxfId="92"/>
    <tableColumn id="3" xr3:uid="{3702BBEF-C11E-4D4E-BC12-4BD2121D3EC8}" name="Modalidad" dataDxfId="91"/>
    <tableColumn id="17" xr3:uid="{22536584-898D-4A19-8480-D3342C257AFD}" name="Cursar" dataDxfId="90">
      <calculatedColumnFormula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calculatedColumnFormula>
    </tableColumn>
    <tableColumn id="18" xr3:uid="{4B13752F-4D7C-4A1D-B36C-54BA596A3010}" name="Electiva" dataDxfId="89"/>
    <tableColumn id="21" xr3:uid="{D641437E-3737-44F7-9A53-4CE116B1C4C8}" name="Carga Horaria" dataDxfId="88"/>
    <tableColumn id="7" xr3:uid="{6D429D2C-2291-4FEF-948F-E02261FBF835}" name="Puntos" dataDxfId="87"/>
    <tableColumn id="8" xr3:uid="{94D1AD21-C77F-4D00-91E2-B914785E3402}" name="R1" dataDxfId="86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85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84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83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30" xr3:uid="{E871317C-F397-448B-92F3-DAAD3AF8271E}" name="R5" dataDxfId="82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2" xr3:uid="{15F19C93-1E23-4EC9-8F6A-BCF6F03A24EB}" name="R6" dataDxfId="81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13" xr3:uid="{43717CD1-6668-4EF7-8BF8-6C1843CB6E18}" name="A1" dataDxfId="80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79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78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77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76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9" xr3:uid="{997D8706-9715-4376-829A-4A2F0F2E2941}" name="A6" dataDxfId="75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28" xr3:uid="{93FFFFB2-3589-4E27-80F4-EA07CAD7F4BD}" name="A7" dataDxfId="74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16" xr3:uid="{1494389C-7B43-4ABE-AB29-970D62EEE7E7}" name="A8" dataDxfId="73" dataCellStyle="60% - Énfasis4">
      <calculatedColumnFormula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calculatedColumnFormula>
    </tableColumn>
    <tableColumn id="19" xr3:uid="{BAD87C3B-EAD5-499D-A8F5-51BE0B89B7BC}" name="HALLAR" dataDxfId="72" dataCellStyle="60% - Énfasis4">
      <calculatedColumnFormula>ISNUMBER(SEARCH($H$4,Tabla1[[#This Row],[Materia]],1))</calculatedColumnFormula>
    </tableColumn>
    <tableColumn id="20" xr3:uid="{BE35400B-14F7-472D-AD27-BDFC43C0D8E5}" name="FILTRAR" dataDxfId="71" dataCellStyle="60% - Énfasis4">
      <calculatedColumnFormula>IFERROR(IF(
    (COUNTIF(Tabla1[[#This Row],[R1]:[A8]], _xlfn.XLOOKUP($H$4,Tabla1[Materia],Tabla1[Numero],""))) &gt; 0,
    TRUE,
    FALSE
),FALSE)</calculatedColumnFormula>
    </tableColumn>
    <tableColumn id="23" xr3:uid="{3B88E2D4-65F2-41F5-8161-896AECC66145}" name="ORDEN" dataDxfId="70">
      <calculatedColumnFormula array="1">_xlfn.SEQUENCE(Tabla1[[#This Row],[Numero]],,1,)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69">
  <autoFilter ref="C41:C48" xr:uid="{CBA2A550-1C17-438E-B7AC-1C04EE1EC366}"/>
  <tableColumns count="1">
    <tableColumn id="1" xr3:uid="{292F7581-8B8A-42E5-9D14-32453948C535}" name="Modalidades" dataDxfId="6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6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6" totalsRowShown="0" headerRowDxfId="66" dataDxfId="65">
  <autoFilter ref="E41:E46" xr:uid="{AB6D7178-77C8-4DA5-B6DE-B06FAD275BEA}"/>
  <tableColumns count="1">
    <tableColumn id="1" xr3:uid="{9DB72B6D-3F22-444F-B143-8516B642D8BA}" name="Nivel" dataDxfId="6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63" dataDxfId="62">
  <autoFilter ref="G41:G43" xr:uid="{2EA6BD66-6D35-4631-BCD0-86FF5A39F5A6}"/>
  <tableColumns count="1">
    <tableColumn id="1" xr3:uid="{7C9497DB-1FDE-4105-98A6-3191782FF11A}" name="Año de Ingreso" dataDxfId="6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2:AA72" totalsRowShown="0" headerRowDxfId="60" dataDxfId="59">
  <autoFilter ref="M52:AA72" xr:uid="{6BABA9D5-C5AE-41C6-A2A8-AE20FFDFED15}"/>
  <sortState xmlns:xlrd2="http://schemas.microsoft.com/office/spreadsheetml/2017/richdata2" ref="M53:AA72">
    <sortCondition ref="M52:M72"/>
  </sortState>
  <tableColumns count="15">
    <tableColumn id="1" xr3:uid="{00BF462B-29DC-4F0F-AD75-42A7085C8D39}" name="Codigo" dataDxfId="58"/>
    <tableColumn id="2" xr3:uid="{EB98CCD7-978D-4FAC-B396-C3980B1B323A}" name="R1" dataDxfId="57"/>
    <tableColumn id="3" xr3:uid="{D3D02AA4-49CE-4B9B-9193-01046C0C2C2B}" name="R2" dataDxfId="56"/>
    <tableColumn id="4" xr3:uid="{8E99CDB2-2208-49A5-B50E-D1E76EC96092}" name="R3" dataDxfId="55"/>
    <tableColumn id="5" xr3:uid="{4B18780F-C7BB-4228-852E-6207F3E4B004}" name="R4" dataDxfId="54"/>
    <tableColumn id="6" xr3:uid="{7C8D4E0E-D695-4A72-A2EF-2E757958F421}" name="R5" dataDxfId="53"/>
    <tableColumn id="15" xr3:uid="{2CF8275F-4748-4380-98F4-893940080668}" name="R6" dataDxfId="52"/>
    <tableColumn id="7" xr3:uid="{0C0D715A-2019-4F34-B1B5-E8D92A6FD8E2}" name="A1" dataDxfId="51"/>
    <tableColumn id="8" xr3:uid="{E44A78C6-A9CC-49AC-859A-DC8A53347E7D}" name="A2" dataDxfId="50"/>
    <tableColumn id="9" xr3:uid="{D09794ED-28A8-4269-94EB-9AFE8E51B3CE}" name="A3" dataDxfId="49"/>
    <tableColumn id="10" xr3:uid="{31C2DB0E-2085-4E85-8F45-3C0EAD5B605A}" name="A4" dataDxfId="48"/>
    <tableColumn id="11" xr3:uid="{0EB5F503-DB66-418C-BDCA-637AB49A05B1}" name="A5" dataDxfId="47"/>
    <tableColumn id="12" xr3:uid="{859F2ECA-72AA-4A02-AB93-4D36C01D76CF}" name="A6" dataDxfId="46"/>
    <tableColumn id="13" xr3:uid="{DEF4B6A0-E7D2-45D0-8236-5C9412ACB16A}" name="A7" dataDxfId="45"/>
    <tableColumn id="14" xr3:uid="{A546F41C-F5E9-4591-ACCC-B6301EFDCDC5}" name="A8" dataDxfId="44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C52:AQ72" totalsRowShown="0" headerRowDxfId="43" dataDxfId="42">
  <autoFilter ref="AC52:AQ72" xr:uid="{4C56D2EE-1D4E-45AA-866D-BD3E74377AC6}"/>
  <sortState xmlns:xlrd2="http://schemas.microsoft.com/office/spreadsheetml/2017/richdata2" ref="AC53:AQ72">
    <sortCondition ref="AC52:AC72"/>
  </sortState>
  <tableColumns count="15">
    <tableColumn id="1" xr3:uid="{649422C5-B7DF-4E6B-88D5-1B5151D106A1}" name="Codigo" dataDxfId="41"/>
    <tableColumn id="2" xr3:uid="{B0669C20-77C3-4271-BB64-BA5AD70F5EA4}" name="R1" dataDxfId="40"/>
    <tableColumn id="3" xr3:uid="{6F6F9001-54E0-4298-BBE8-40AAB0B6B5E2}" name="R2" dataDxfId="39"/>
    <tableColumn id="4" xr3:uid="{BAD2B660-ACF8-4AB4-AB57-28E9332E6D61}" name="R3" dataDxfId="38"/>
    <tableColumn id="5" xr3:uid="{D90491D1-A8FF-40CC-853D-B4E88B808B65}" name="R4" dataDxfId="37"/>
    <tableColumn id="6" xr3:uid="{53A4E746-E6B7-47A5-BE78-24132436BFB6}" name="R5" dataDxfId="36"/>
    <tableColumn id="15" xr3:uid="{D1A3BB7D-C707-4A5F-9A6C-D2CDE3979B64}" name="R6" dataDxfId="35"/>
    <tableColumn id="7" xr3:uid="{2BE25757-308C-4CA1-9642-CEAAF6E3AC7C}" name="A1" dataDxfId="34"/>
    <tableColumn id="8" xr3:uid="{7FCA6414-D3D1-439F-9E91-71295C0B1BB0}" name="A2" dataDxfId="33"/>
    <tableColumn id="9" xr3:uid="{F413DB55-65DB-43DD-909F-284729B0D8ED}" name="A3" dataDxfId="32"/>
    <tableColumn id="10" xr3:uid="{E04230CD-6F51-4443-AC8E-C7400AF4CD6A}" name="A4" dataDxfId="31"/>
    <tableColumn id="11" xr3:uid="{D1E44710-B614-40C2-8B13-9FD693948A01}" name="A5" dataDxfId="30"/>
    <tableColumn id="12" xr3:uid="{9FEE1BF5-A7ED-404D-AB2C-8FE39BC1E165}" name="A6" dataDxfId="29"/>
    <tableColumn id="13" xr3:uid="{8798DF61-8242-4ECC-89AD-1DD1FE39C677}" name="A7" dataDxfId="28"/>
    <tableColumn id="14" xr3:uid="{22AF2D43-DBFC-4134-ABC6-145C64B297E2}" name="A8" dataDxfId="27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76:AA106" totalsRowShown="0" headerRowDxfId="26" dataDxfId="24" headerRowBorderDxfId="25">
  <autoFilter ref="M76:AA106" xr:uid="{6DDA878B-8FB3-461B-AC35-2511A2B3ECF5}"/>
  <tableColumns count="15">
    <tableColumn id="1" xr3:uid="{E87F0A87-4CCB-48F3-9805-37B0E4F0ED13}" name="Codigo" dataDxfId="23"/>
    <tableColumn id="2" xr3:uid="{F951F42E-B6C6-451B-AA18-2EA4CF47D104}" name="R1" dataDxfId="22"/>
    <tableColumn id="3" xr3:uid="{2B2B3E23-6706-4E44-8879-1CDAECB8B925}" name="R2" dataDxfId="21"/>
    <tableColumn id="4" xr3:uid="{D70289A5-845C-4C0B-AF0C-99A642E31E90}" name="R3" dataDxfId="20"/>
    <tableColumn id="5" xr3:uid="{83E2A021-2B00-4B0B-854E-1274AF7467D1}" name="R4" dataDxfId="19"/>
    <tableColumn id="6" xr3:uid="{853CAB49-3AFA-485D-928D-16D1DA623475}" name="R5" dataDxfId="18"/>
    <tableColumn id="15" xr3:uid="{41DF3EDD-DA2E-4934-8120-8A17F42EBFCB}" name="R6" dataDxfId="17"/>
    <tableColumn id="7" xr3:uid="{E6023B34-E7DD-4350-9CA8-5154C6039DBD}" name="A1" dataDxfId="16"/>
    <tableColumn id="8" xr3:uid="{E373BB62-16EF-44BB-B704-95E87D402E25}" name="A2" dataDxfId="15"/>
    <tableColumn id="9" xr3:uid="{B5F769DF-DE27-4977-BF43-3C40CF2D8B5F}" name="A3" dataDxfId="14"/>
    <tableColumn id="10" xr3:uid="{A1BC6C50-C20A-4FDB-AAEA-0D0E059F6431}" name="A4" dataDxfId="13"/>
    <tableColumn id="11" xr3:uid="{010CBCF1-C687-441E-A6B4-7BE13928CDB0}" name="A5" dataDxfId="12"/>
    <tableColumn id="12" xr3:uid="{16A0B0C5-F02D-436C-A698-82FD4282E448}" name="A6" dataDxfId="11"/>
    <tableColumn id="13" xr3:uid="{CAF13A0F-07E1-40F8-BA6B-F094915D945C}" name="A7" dataDxfId="10"/>
    <tableColumn id="14" xr3:uid="{A64E34A3-30DE-4CA5-8EDD-452EAA0771F7}" name="A8" dataDxfId="9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zoomScale="115" zoomScaleNormal="115" workbookViewId="0">
      <selection activeCell="X5" sqref="X5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7" width="3.7109375" customWidth="1"/>
    <col min="28" max="28" width="13" hidden="1" customWidth="1"/>
    <col min="29" max="29" width="13.7109375" hidden="1" customWidth="1"/>
    <col min="30" max="30" width="12.5703125" hidden="1" customWidth="1"/>
    <col min="31" max="31" width="5" customWidth="1"/>
    <col min="32" max="32" width="17.85546875" customWidth="1"/>
    <col min="33" max="33" width="44.85546875" customWidth="1"/>
    <col min="34" max="34" width="4" customWidth="1"/>
    <col min="35" max="35" width="10.85546875" hidden="1" customWidth="1"/>
    <col min="36" max="37" width="12" hidden="1" customWidth="1"/>
    <col min="38" max="59" width="9.140625" hidden="1" customWidth="1"/>
    <col min="60" max="60" width="30.28515625" hidden="1" customWidth="1"/>
    <col min="61" max="61" width="29.7109375" hidden="1" customWidth="1"/>
    <col min="62" max="62" width="28.85546875" hidden="1" customWidth="1"/>
    <col min="63" max="63" width="19.42578125" hidden="1" customWidth="1"/>
    <col min="64" max="64" width="13.28515625" hidden="1" customWidth="1"/>
    <col min="65" max="65" width="16.28515625" hidden="1" customWidth="1"/>
    <col min="66" max="66" width="15.42578125" hidden="1" customWidth="1"/>
    <col min="67" max="67" width="18.5703125" hidden="1" customWidth="1"/>
    <col min="68" max="68" width="25" hidden="1" customWidth="1"/>
    <col min="69" max="69" width="19" hidden="1" customWidth="1"/>
    <col min="70" max="70" width="14.28515625" hidden="1" customWidth="1"/>
    <col min="71" max="16384" width="11.42578125" hidden="1"/>
  </cols>
  <sheetData>
    <row r="1" spans="1:68" x14ac:dyDescent="0.25">
      <c r="J1" s="19"/>
      <c r="K1" s="19"/>
      <c r="L1" s="19"/>
    </row>
    <row r="2" spans="1:68" ht="38.25" customHeight="1" x14ac:dyDescent="0.25">
      <c r="B2" s="237" t="s">
        <v>91</v>
      </c>
      <c r="C2" s="237"/>
      <c r="D2" s="237"/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AB2" s="98"/>
      <c r="AF2" s="131" t="s">
        <v>30</v>
      </c>
      <c r="AG2" s="130" t="s">
        <v>49</v>
      </c>
      <c r="AH2" s="214"/>
    </row>
    <row r="3" spans="1:68" ht="15" customHeight="1" thickBot="1" x14ac:dyDescent="0.3">
      <c r="A3" s="21"/>
      <c r="B3" s="51"/>
      <c r="C3" s="51"/>
      <c r="D3" s="51"/>
      <c r="E3" s="51"/>
      <c r="F3" s="51"/>
      <c r="G3" s="51"/>
      <c r="H3" s="51"/>
      <c r="I3" s="51"/>
      <c r="J3" s="44"/>
      <c r="T3" s="22"/>
      <c r="U3" s="19"/>
      <c r="V3" s="19"/>
      <c r="AB3" s="48"/>
      <c r="AC3" s="48"/>
      <c r="AD3" s="49"/>
      <c r="AE3" s="49"/>
      <c r="AF3" s="49"/>
      <c r="AG3" s="49"/>
      <c r="AH3" s="49"/>
      <c r="AI3" s="49"/>
    </row>
    <row r="4" spans="1:68" ht="31.5" customHeight="1" thickBot="1" x14ac:dyDescent="0.3">
      <c r="A4" s="17"/>
      <c r="B4" s="44"/>
      <c r="C4" s="44"/>
      <c r="D4" s="44"/>
      <c r="E4" s="44"/>
      <c r="F4" s="44"/>
      <c r="G4" s="57" t="s">
        <v>1</v>
      </c>
      <c r="H4" s="235"/>
      <c r="I4" s="235"/>
      <c r="J4" s="235"/>
      <c r="K4" s="236"/>
      <c r="L4" s="235"/>
      <c r="M4" s="105"/>
      <c r="N4" s="238" t="s">
        <v>76</v>
      </c>
      <c r="O4" s="239"/>
      <c r="P4" s="240"/>
      <c r="Q4" s="252" t="s">
        <v>78</v>
      </c>
      <c r="R4" s="253"/>
      <c r="S4" s="254"/>
      <c r="T4" s="19"/>
      <c r="U4" s="19"/>
      <c r="V4" s="19"/>
      <c r="AF4" s="49"/>
      <c r="AG4" s="49"/>
      <c r="AH4" s="49"/>
      <c r="AI4" s="49"/>
    </row>
    <row r="5" spans="1:68" s="79" customFormat="1" ht="29.25" customHeight="1" thickBot="1" x14ac:dyDescent="0.3">
      <c r="A5" s="78"/>
      <c r="B5" s="44"/>
      <c r="C5" s="44"/>
      <c r="D5" s="44"/>
      <c r="E5" s="44"/>
      <c r="F5" s="44"/>
      <c r="G5" s="56" t="s">
        <v>72</v>
      </c>
      <c r="H5" s="150" t="s">
        <v>54</v>
      </c>
      <c r="N5" s="44"/>
      <c r="O5" s="44"/>
      <c r="P5" s="44"/>
      <c r="Q5" s="44"/>
      <c r="R5" s="50"/>
      <c r="S5" s="44"/>
      <c r="T5" s="80"/>
      <c r="U5" s="80"/>
      <c r="V5" s="80"/>
      <c r="AF5" s="84"/>
    </row>
    <row r="6" spans="1:68" s="79" customFormat="1" ht="16.5" customHeight="1" thickBot="1" x14ac:dyDescent="0.3">
      <c r="A6" s="78"/>
      <c r="B6" s="44"/>
      <c r="C6" s="44"/>
      <c r="D6" s="44"/>
      <c r="E6" s="44"/>
      <c r="F6" s="44"/>
      <c r="G6" s="44"/>
      <c r="N6" s="44"/>
      <c r="O6" s="44"/>
      <c r="P6" s="44"/>
      <c r="Q6" s="44"/>
      <c r="R6" s="44"/>
      <c r="S6" s="44"/>
      <c r="T6" s="80"/>
      <c r="U6" s="80"/>
      <c r="V6" s="80"/>
    </row>
    <row r="7" spans="1:68" s="79" customFormat="1" ht="28.5" customHeight="1" thickBot="1" x14ac:dyDescent="0.3">
      <c r="A7" s="78"/>
      <c r="C7" s="44"/>
      <c r="D7" s="44"/>
      <c r="E7" s="44"/>
      <c r="F7" s="44"/>
      <c r="G7" s="249" t="s">
        <v>52</v>
      </c>
      <c r="H7" s="250"/>
      <c r="I7" s="250"/>
      <c r="J7" s="250"/>
      <c r="K7" s="250"/>
      <c r="L7" s="251"/>
      <c r="N7" s="54"/>
      <c r="O7" s="44"/>
      <c r="P7" s="44"/>
      <c r="Q7" s="44"/>
      <c r="R7" s="44"/>
      <c r="S7" s="44"/>
      <c r="T7" s="80"/>
      <c r="U7" s="80"/>
      <c r="V7" s="80"/>
      <c r="AF7" s="84"/>
    </row>
    <row r="8" spans="1:68" s="79" customFormat="1" ht="33" customHeight="1" thickBot="1" x14ac:dyDescent="0.3">
      <c r="A8" s="78"/>
      <c r="B8" s="44"/>
      <c r="C8" s="44"/>
      <c r="D8" s="44"/>
      <c r="E8" s="44"/>
      <c r="F8" s="44"/>
      <c r="G8" s="55" t="s">
        <v>73</v>
      </c>
      <c r="H8" s="243" t="s">
        <v>74</v>
      </c>
      <c r="I8" s="245"/>
      <c r="J8" s="243" t="s">
        <v>75</v>
      </c>
      <c r="K8" s="244"/>
      <c r="L8" s="245"/>
      <c r="N8" s="44"/>
      <c r="O8" s="44"/>
      <c r="P8" s="44"/>
      <c r="Q8" s="44"/>
      <c r="R8" s="44"/>
      <c r="S8" s="44"/>
      <c r="T8" s="80"/>
      <c r="U8" s="80"/>
      <c r="V8" s="80"/>
      <c r="BH8" s="85"/>
      <c r="BI8" s="85"/>
      <c r="BJ8" s="85"/>
      <c r="BK8" s="85"/>
      <c r="BL8" s="85"/>
      <c r="BM8" s="85"/>
    </row>
    <row r="9" spans="1:68" ht="21" customHeight="1" thickBot="1" x14ac:dyDescent="0.3">
      <c r="A9" s="17"/>
      <c r="B9" s="19"/>
      <c r="E9" s="19"/>
      <c r="G9" s="53">
        <f xml:space="preserve"> SUMIFS(Tabla1[Carga Horaria], Tabla1[Estado], "&lt;&gt;Aprobado", Tabla1[Estado], "&lt;&gt;Regular", Tabla1[Electiva], "NO")</f>
        <v>157</v>
      </c>
      <c r="H9" s="241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42"/>
      <c r="J9" s="246" t="s">
        <v>54</v>
      </c>
      <c r="K9" s="247"/>
      <c r="L9" s="248"/>
      <c r="N9" s="255" t="s">
        <v>5</v>
      </c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7"/>
      <c r="BH9" s="15"/>
      <c r="BI9" s="15"/>
      <c r="BJ9" s="15"/>
      <c r="BK9" s="15"/>
      <c r="BL9" s="15"/>
      <c r="BM9" s="15"/>
    </row>
    <row r="10" spans="1:68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N10" s="232" t="s">
        <v>36</v>
      </c>
      <c r="O10" s="233"/>
      <c r="P10" s="233"/>
      <c r="Q10" s="233"/>
      <c r="R10" s="233"/>
      <c r="S10" s="234"/>
      <c r="T10" s="232" t="s">
        <v>13</v>
      </c>
      <c r="U10" s="233"/>
      <c r="V10" s="233"/>
      <c r="W10" s="233"/>
      <c r="X10" s="233"/>
      <c r="Y10" s="233"/>
      <c r="Z10" s="233"/>
      <c r="AA10" s="234"/>
      <c r="BH10" s="15"/>
      <c r="BI10" s="15"/>
      <c r="BJ10" s="15"/>
      <c r="BK10" s="15"/>
      <c r="BL10" s="15"/>
      <c r="BM10" s="15"/>
    </row>
    <row r="11" spans="1:68" s="6" customFormat="1" ht="31.5" customHeight="1" thickBot="1" x14ac:dyDescent="0.3">
      <c r="A11" s="24"/>
      <c r="B11" s="125" t="s">
        <v>0</v>
      </c>
      <c r="C11" s="125" t="s">
        <v>51</v>
      </c>
      <c r="D11" s="125" t="s">
        <v>50</v>
      </c>
      <c r="E11" s="125" t="s">
        <v>1</v>
      </c>
      <c r="F11" s="126" t="s">
        <v>57</v>
      </c>
      <c r="G11" s="125" t="s">
        <v>60</v>
      </c>
      <c r="H11" s="125" t="s">
        <v>28</v>
      </c>
      <c r="I11" s="125" t="s">
        <v>3</v>
      </c>
      <c r="J11" s="125" t="s">
        <v>56</v>
      </c>
      <c r="K11" s="125" t="s">
        <v>59</v>
      </c>
      <c r="L11" s="125" t="s">
        <v>63</v>
      </c>
      <c r="M11" s="125" t="s">
        <v>31</v>
      </c>
      <c r="N11" s="127" t="s">
        <v>43</v>
      </c>
      <c r="O11" s="128" t="s">
        <v>37</v>
      </c>
      <c r="P11" s="128" t="s">
        <v>38</v>
      </c>
      <c r="Q11" s="128" t="s">
        <v>39</v>
      </c>
      <c r="R11" s="128" t="s">
        <v>88</v>
      </c>
      <c r="S11" s="128" t="s">
        <v>120</v>
      </c>
      <c r="T11" s="129" t="s">
        <v>44</v>
      </c>
      <c r="U11" s="128" t="s">
        <v>40</v>
      </c>
      <c r="V11" s="128" t="s">
        <v>41</v>
      </c>
      <c r="W11" s="128" t="s">
        <v>42</v>
      </c>
      <c r="X11" s="128" t="s">
        <v>89</v>
      </c>
      <c r="Y11" s="128" t="s">
        <v>90</v>
      </c>
      <c r="Z11" s="128" t="s">
        <v>95</v>
      </c>
      <c r="AA11" s="128" t="s">
        <v>96</v>
      </c>
      <c r="AB11" s="106" t="s">
        <v>62</v>
      </c>
      <c r="AC11" s="106" t="s">
        <v>64</v>
      </c>
      <c r="AD11" s="106" t="s">
        <v>83</v>
      </c>
      <c r="AI11" s="19"/>
      <c r="AJ11" s="19"/>
      <c r="AK11" s="20"/>
      <c r="BK11" s="14"/>
      <c r="BL11" s="14"/>
      <c r="BM11" s="14"/>
      <c r="BN11" s="14"/>
      <c r="BO11" s="14"/>
      <c r="BP11" s="14"/>
    </row>
    <row r="12" spans="1:68" ht="17.25" customHeight="1" x14ac:dyDescent="0.25">
      <c r="A12" s="17"/>
      <c r="B12" s="218">
        <v>1</v>
      </c>
      <c r="C12" s="132">
        <v>1</v>
      </c>
      <c r="D12" s="177" t="s">
        <v>65</v>
      </c>
      <c r="E12" s="114" t="s">
        <v>129</v>
      </c>
      <c r="F12" s="108" t="str">
        <f>_xlfn.XLOOKUP(Tabla1[[#This Row],[Estado]],Control!$C$32:$C$34,Control!$B$32:$B$34,"")</f>
        <v/>
      </c>
      <c r="G12" s="116"/>
      <c r="H12" s="140"/>
      <c r="I12" s="108" t="s">
        <v>6</v>
      </c>
      <c r="J12" s="119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2" s="119" t="s">
        <v>54</v>
      </c>
      <c r="L12" s="119">
        <v>5</v>
      </c>
      <c r="M12" s="132"/>
      <c r="N12" s="120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2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2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2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2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12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2" s="12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2" s="12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2" s="12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2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2" s="12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2" s="10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2" s="10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2" s="11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2" s="219" t="b">
        <f>ISNUMBER(SEARCH($H$4,Tabla1[[#This Row],[Materia]],1))</f>
        <v>1</v>
      </c>
      <c r="AC12" s="219" t="b">
        <f>IFERROR(IF(
    (COUNTIF(Tabla1[[#This Row],[R1]:[A8]], _xlfn.XLOOKUP($H$4,Tabla1[Materia],Tabla1[Numero],""))) &gt; 0,
    TRUE,
    FALSE
),FALSE)</f>
        <v>0</v>
      </c>
      <c r="AD12" s="201">
        <v>1</v>
      </c>
      <c r="AE12" s="19"/>
      <c r="AF12" s="19"/>
      <c r="AG12" s="19"/>
      <c r="AH12" s="19"/>
      <c r="AJ12" s="19"/>
      <c r="AK12" s="19"/>
      <c r="BK12" s="15"/>
      <c r="BL12" s="15"/>
      <c r="BM12" s="15"/>
      <c r="BN12" s="15"/>
      <c r="BO12" s="15"/>
      <c r="BP12" s="15"/>
    </row>
    <row r="13" spans="1:68" ht="17.25" customHeight="1" x14ac:dyDescent="0.25">
      <c r="A13" s="17"/>
      <c r="B13" s="220">
        <v>2</v>
      </c>
      <c r="C13" s="133">
        <v>2</v>
      </c>
      <c r="D13" s="178" t="s">
        <v>65</v>
      </c>
      <c r="E13" s="62" t="s">
        <v>85</v>
      </c>
      <c r="F13" s="11" t="str">
        <f>_xlfn.XLOOKUP(Tabla1[[#This Row],[Estado]],Control!$C$32:$C$34,Control!$B$32:$B$34,"")</f>
        <v/>
      </c>
      <c r="G13" s="99"/>
      <c r="H13" s="141"/>
      <c r="I13" s="11" t="s">
        <v>6</v>
      </c>
      <c r="J13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3" s="11" t="s">
        <v>54</v>
      </c>
      <c r="L13" s="11">
        <v>5</v>
      </c>
      <c r="M13" s="133"/>
      <c r="N13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3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3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3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3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3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3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3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3" s="95" t="b">
        <f>ISNUMBER(SEARCH($H$4,Tabla1[[#This Row],[Materia]],1))</f>
        <v>1</v>
      </c>
      <c r="AC13" s="95" t="b">
        <f>IFERROR(IF(
    (COUNTIF(Tabla1[[#This Row],[R1]:[A8]], _xlfn.XLOOKUP($H$4,Tabla1[Materia],Tabla1[Numero],""))) &gt; 0,
    TRUE,
    FALSE
),FALSE)</f>
        <v>0</v>
      </c>
      <c r="AD13" s="221">
        <v>2</v>
      </c>
      <c r="AE13" s="19"/>
      <c r="AH13" s="19"/>
      <c r="AI13" s="19"/>
      <c r="AJ13" s="19"/>
      <c r="AK13" s="19"/>
    </row>
    <row r="14" spans="1:68" ht="17.25" customHeight="1" x14ac:dyDescent="0.25">
      <c r="A14" s="17"/>
      <c r="B14" s="220">
        <v>3</v>
      </c>
      <c r="C14" s="133">
        <v>3</v>
      </c>
      <c r="D14" s="178" t="s">
        <v>65</v>
      </c>
      <c r="E14" s="62" t="s">
        <v>130</v>
      </c>
      <c r="F14" s="11" t="str">
        <f>_xlfn.XLOOKUP(Tabla1[[#This Row],[Estado]],Control!$C$32:$C$34,Control!$B$32:$B$34,"")</f>
        <v/>
      </c>
      <c r="G14" s="99"/>
      <c r="H14" s="141"/>
      <c r="I14" s="11" t="s">
        <v>6</v>
      </c>
      <c r="J14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4" s="11" t="s">
        <v>54</v>
      </c>
      <c r="L14" s="11">
        <v>5</v>
      </c>
      <c r="M14" s="133"/>
      <c r="N14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4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4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4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4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4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4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4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4" s="95" t="b">
        <f>ISNUMBER(SEARCH($H$4,Tabla1[[#This Row],[Materia]],1))</f>
        <v>1</v>
      </c>
      <c r="AC14" s="95" t="b">
        <f>IFERROR(IF(
    (COUNTIF(Tabla1[[#This Row],[R1]:[A8]], _xlfn.XLOOKUP($H$4,Tabla1[Materia],Tabla1[Numero],""))) &gt; 0,
    TRUE,
    FALSE
),FALSE)</f>
        <v>0</v>
      </c>
      <c r="AD14" s="221">
        <v>3</v>
      </c>
      <c r="AE14" s="19"/>
      <c r="AF14" s="19"/>
      <c r="AG14" s="19"/>
      <c r="AI14" s="19"/>
      <c r="AJ14" s="19"/>
      <c r="AK14" s="19"/>
      <c r="AL14" s="19"/>
      <c r="AM14" s="23"/>
    </row>
    <row r="15" spans="1:68" ht="17.25" customHeight="1" x14ac:dyDescent="0.25">
      <c r="A15" s="17"/>
      <c r="B15" s="220">
        <v>4</v>
      </c>
      <c r="C15" s="133">
        <v>4</v>
      </c>
      <c r="D15" s="178" t="s">
        <v>65</v>
      </c>
      <c r="E15" s="62" t="s">
        <v>86</v>
      </c>
      <c r="F15" s="11" t="str">
        <f>_xlfn.XLOOKUP(Tabla1[[#This Row],[Estado]],Control!$C$32:$C$34,Control!$B$32:$B$34,"")</f>
        <v/>
      </c>
      <c r="G15" s="99"/>
      <c r="H15" s="141"/>
      <c r="I15" s="11" t="s">
        <v>6</v>
      </c>
      <c r="J15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5" s="11" t="s">
        <v>54</v>
      </c>
      <c r="L15" s="11">
        <v>5</v>
      </c>
      <c r="M15" s="133"/>
      <c r="N15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5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5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5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5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5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5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5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5" s="95" t="b">
        <f>ISNUMBER(SEARCH($H$4,Tabla1[[#This Row],[Materia]],1))</f>
        <v>1</v>
      </c>
      <c r="AC15" s="95" t="b">
        <f>IFERROR(IF(
    (COUNTIF(Tabla1[[#This Row],[R1]:[A8]], _xlfn.XLOOKUP($H$4,Tabla1[Materia],Tabla1[Numero],""))) &gt; 0,
    TRUE,
    FALSE
),FALSE)</f>
        <v>0</v>
      </c>
      <c r="AD15" s="221">
        <v>4</v>
      </c>
      <c r="AE15" s="19"/>
      <c r="AF15" s="19"/>
      <c r="AG15" s="19"/>
      <c r="AH15" s="19"/>
    </row>
    <row r="16" spans="1:68" ht="17.25" customHeight="1" x14ac:dyDescent="0.25">
      <c r="A16" s="17"/>
      <c r="B16" s="220">
        <v>5</v>
      </c>
      <c r="C16" s="133">
        <v>5</v>
      </c>
      <c r="D16" s="178" t="s">
        <v>65</v>
      </c>
      <c r="E16" s="62" t="s">
        <v>131</v>
      </c>
      <c r="F16" s="11" t="str">
        <f>_xlfn.XLOOKUP(Tabla1[[#This Row],[Estado]],Control!$C$32:$C$34,Control!$B$32:$B$34,"")</f>
        <v/>
      </c>
      <c r="G16" s="99"/>
      <c r="H16" s="141"/>
      <c r="I16" s="11" t="s">
        <v>6</v>
      </c>
      <c r="J16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6" s="11" t="s">
        <v>54</v>
      </c>
      <c r="L16" s="11">
        <v>3</v>
      </c>
      <c r="M16" s="133"/>
      <c r="N16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6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6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6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6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6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6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6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6" s="95" t="b">
        <f>ISNUMBER(SEARCH($H$4,Tabla1[[#This Row],[Materia]],1))</f>
        <v>1</v>
      </c>
      <c r="AC16" s="95" t="b">
        <f>IFERROR(IF(
    (COUNTIF(Tabla1[[#This Row],[R1]:[A8]], _xlfn.XLOOKUP($H$4,Tabla1[Materia],Tabla1[Numero],""))) &gt; 0,
    TRUE,
    FALSE
),FALSE)</f>
        <v>0</v>
      </c>
      <c r="AD16" s="221">
        <v>5</v>
      </c>
      <c r="AE16" s="19"/>
      <c r="AF16" s="19"/>
      <c r="AG16" s="19"/>
      <c r="AH16" s="19"/>
    </row>
    <row r="17" spans="1:39" ht="17.25" customHeight="1" x14ac:dyDescent="0.25">
      <c r="A17" s="17"/>
      <c r="B17" s="220">
        <v>6</v>
      </c>
      <c r="C17" s="133">
        <v>6</v>
      </c>
      <c r="D17" s="178" t="s">
        <v>65</v>
      </c>
      <c r="E17" s="62" t="s">
        <v>25</v>
      </c>
      <c r="F17" s="11" t="str">
        <f>_xlfn.XLOOKUP(Tabla1[[#This Row],[Estado]],Control!$C$32:$C$34,Control!$B$32:$B$34,"")</f>
        <v/>
      </c>
      <c r="G17" s="99"/>
      <c r="H17" s="141"/>
      <c r="I17" s="11" t="s">
        <v>6</v>
      </c>
      <c r="J17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7" s="11" t="s">
        <v>54</v>
      </c>
      <c r="L17" s="11">
        <v>2</v>
      </c>
      <c r="M17" s="133"/>
      <c r="N17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7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7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7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7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7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7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7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7" s="95" t="b">
        <f>ISNUMBER(SEARCH($H$4,Tabla1[[#This Row],[Materia]],1))</f>
        <v>1</v>
      </c>
      <c r="AC17" s="95" t="b">
        <f>IFERROR(IF(
    (COUNTIF(Tabla1[[#This Row],[R1]:[A8]], _xlfn.XLOOKUP($H$4,Tabla1[Materia],Tabla1[Numero],""))) &gt; 0,
    TRUE,
    FALSE
),FALSE)</f>
        <v>0</v>
      </c>
      <c r="AD17" s="221">
        <v>6</v>
      </c>
      <c r="AE17" s="19"/>
      <c r="AF17" s="19"/>
      <c r="AG17" s="19"/>
      <c r="AH17" s="19"/>
      <c r="AI17" s="19"/>
      <c r="AJ17" s="19"/>
      <c r="AK17" s="19"/>
      <c r="AL17" s="19"/>
      <c r="AM17" s="23"/>
    </row>
    <row r="18" spans="1:39" ht="17.25" customHeight="1" x14ac:dyDescent="0.25">
      <c r="A18" s="17"/>
      <c r="B18" s="220">
        <v>7</v>
      </c>
      <c r="C18" s="133">
        <v>7</v>
      </c>
      <c r="D18" s="178" t="s">
        <v>65</v>
      </c>
      <c r="E18" s="62" t="s">
        <v>92</v>
      </c>
      <c r="F18" s="11" t="str">
        <f>_xlfn.XLOOKUP(Tabla1[[#This Row],[Estado]],Control!$C$32:$C$34,Control!$B$32:$B$34,"")</f>
        <v/>
      </c>
      <c r="G18" s="99"/>
      <c r="H18" s="141"/>
      <c r="I18" s="11" t="s">
        <v>6</v>
      </c>
      <c r="J18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8" s="11" t="s">
        <v>54</v>
      </c>
      <c r="L18" s="11">
        <v>3</v>
      </c>
      <c r="M18" s="133"/>
      <c r="N18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8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8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8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8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8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8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8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8" s="95" t="b">
        <f>ISNUMBER(SEARCH($H$4,Tabla1[[#This Row],[Materia]],1))</f>
        <v>1</v>
      </c>
      <c r="AC18" s="95" t="b">
        <f>IFERROR(IF(
    (COUNTIF(Tabla1[[#This Row],[R1]:[A8]], _xlfn.XLOOKUP($H$4,Tabla1[Materia],Tabla1[Numero],""))) &gt; 0,
    TRUE,
    FALSE
),FALSE)</f>
        <v>0</v>
      </c>
      <c r="AD18" s="221">
        <v>7</v>
      </c>
      <c r="AE18" s="19"/>
      <c r="AF18" s="19"/>
      <c r="AG18" s="19"/>
      <c r="AH18" s="19"/>
      <c r="AI18" s="19"/>
      <c r="AJ18" s="19"/>
      <c r="AK18" s="19"/>
      <c r="AL18" s="19"/>
      <c r="AM18" s="23"/>
    </row>
    <row r="19" spans="1:39" ht="17.25" customHeight="1" x14ac:dyDescent="0.25">
      <c r="A19" s="17"/>
      <c r="B19" s="220">
        <v>8</v>
      </c>
      <c r="C19" s="133">
        <v>8</v>
      </c>
      <c r="D19" s="178" t="s">
        <v>65</v>
      </c>
      <c r="E19" s="62" t="s">
        <v>93</v>
      </c>
      <c r="F19" s="11" t="str">
        <f>_xlfn.XLOOKUP(Tabla1[[#This Row],[Estado]],Control!$C$32:$C$34,Control!$B$32:$B$34,"")</f>
        <v/>
      </c>
      <c r="G19" s="99"/>
      <c r="H19" s="141"/>
      <c r="I19" s="11" t="s">
        <v>6</v>
      </c>
      <c r="J19" s="1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19" s="11" t="s">
        <v>54</v>
      </c>
      <c r="L19" s="11">
        <v>2</v>
      </c>
      <c r="M19" s="133"/>
      <c r="N19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9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9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9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9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9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9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9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9" s="9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9" s="95" t="b">
        <f>ISNUMBER(SEARCH($H$4,Tabla1[[#This Row],[Materia]],1))</f>
        <v>1</v>
      </c>
      <c r="AC19" s="95" t="b">
        <f>IFERROR(IF(
    (COUNTIF(Tabla1[[#This Row],[R1]:[A8]], _xlfn.XLOOKUP($H$4,Tabla1[Materia],Tabla1[Numero],""))) &gt; 0,
    TRUE,
    FALSE
),FALSE)</f>
        <v>0</v>
      </c>
      <c r="AD19" s="221">
        <v>8</v>
      </c>
      <c r="AE19" s="19"/>
      <c r="AF19" s="19"/>
      <c r="AG19" s="19"/>
      <c r="AH19" s="19"/>
      <c r="AI19" s="19"/>
      <c r="AJ19" s="19"/>
      <c r="AK19" s="19"/>
      <c r="AL19" s="19"/>
      <c r="AM19" s="23"/>
    </row>
    <row r="20" spans="1:39" ht="17.25" customHeight="1" thickBot="1" x14ac:dyDescent="0.3">
      <c r="A20" s="17"/>
      <c r="B20" s="222">
        <v>9</v>
      </c>
      <c r="C20" s="134">
        <v>9</v>
      </c>
      <c r="D20" s="179" t="s">
        <v>65</v>
      </c>
      <c r="E20" s="115" t="s">
        <v>132</v>
      </c>
      <c r="F20" s="113" t="str">
        <f>_xlfn.XLOOKUP(Tabla1[[#This Row],[Estado]],Control!$C$32:$C$34,Control!$B$32:$B$34,"")</f>
        <v/>
      </c>
      <c r="G20" s="118"/>
      <c r="H20" s="142"/>
      <c r="I20" s="113" t="s">
        <v>6</v>
      </c>
      <c r="J20" s="1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SI</v>
      </c>
      <c r="K20" s="113" t="s">
        <v>54</v>
      </c>
      <c r="L20" s="113">
        <v>2</v>
      </c>
      <c r="M20" s="134"/>
      <c r="N20" s="16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0" s="16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0" s="16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6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16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16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0" s="16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0" s="16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0" s="16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0" s="16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0" s="16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0" s="1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0" s="1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0" s="12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0" s="161" t="b">
        <f>ISNUMBER(SEARCH($H$4,Tabla1[[#This Row],[Materia]],1))</f>
        <v>1</v>
      </c>
      <c r="AC20" s="161" t="b">
        <f>IFERROR(IF(
    (COUNTIF(Tabla1[[#This Row],[R1]:[A8]], _xlfn.XLOOKUP($H$4,Tabla1[Materia],Tabla1[Numero],""))) &gt; 0,
    TRUE,
    FALSE
),FALSE)</f>
        <v>0</v>
      </c>
      <c r="AD20" s="221">
        <v>9</v>
      </c>
      <c r="AE20" s="19"/>
      <c r="AF20" s="19"/>
      <c r="AG20" s="19"/>
      <c r="AH20" s="19"/>
      <c r="AI20" s="19"/>
      <c r="AJ20" s="19"/>
      <c r="AK20" s="19"/>
      <c r="AL20" s="19"/>
      <c r="AM20" s="23"/>
    </row>
    <row r="21" spans="1:39" ht="17.25" customHeight="1" x14ac:dyDescent="0.25">
      <c r="A21" s="17"/>
      <c r="B21" s="107">
        <v>10</v>
      </c>
      <c r="C21" s="135">
        <v>10</v>
      </c>
      <c r="D21" s="180" t="s">
        <v>66</v>
      </c>
      <c r="E21" s="63" t="s">
        <v>133</v>
      </c>
      <c r="F21" s="13" t="str">
        <f>_xlfn.XLOOKUP(Tabla1[[#This Row],[Estado]],Control!$C$32:$C$34,Control!$B$32:$B$34,"")</f>
        <v/>
      </c>
      <c r="G21" s="100"/>
      <c r="H21" s="143"/>
      <c r="I21" s="13" t="s">
        <v>6</v>
      </c>
      <c r="J21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1" s="13" t="s">
        <v>54</v>
      </c>
      <c r="L21" s="13">
        <v>5</v>
      </c>
      <c r="M21" s="135"/>
      <c r="N21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1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1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1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1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1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1" s="95" t="b">
        <f>ISNUMBER(SEARCH($H$4,Tabla1[[#This Row],[Materia]],1))</f>
        <v>1</v>
      </c>
      <c r="AC21" s="95" t="b">
        <f>IFERROR(IF(
    (COUNTIF(Tabla1[[#This Row],[R1]:[A8]], _xlfn.XLOOKUP($H$4,Tabla1[Materia],Tabla1[Numero],""))) &gt; 0,
    TRUE,
    FALSE
),FALSE)</f>
        <v>0</v>
      </c>
      <c r="AD21" s="221">
        <v>10</v>
      </c>
      <c r="AE21" s="19"/>
      <c r="AF21" s="19"/>
      <c r="AG21" s="19"/>
      <c r="AH21" s="19"/>
      <c r="AI21" s="19"/>
      <c r="AJ21" s="19"/>
      <c r="AK21" s="19"/>
      <c r="AL21" s="19"/>
      <c r="AM21" s="23"/>
    </row>
    <row r="22" spans="1:39" ht="17.25" customHeight="1" x14ac:dyDescent="0.25">
      <c r="A22" s="17"/>
      <c r="B22" s="107">
        <v>11</v>
      </c>
      <c r="C22" s="135">
        <v>11</v>
      </c>
      <c r="D22" s="180" t="s">
        <v>66</v>
      </c>
      <c r="E22" s="63" t="s">
        <v>134</v>
      </c>
      <c r="F22" s="13" t="str">
        <f>_xlfn.XLOOKUP(Tabla1[[#This Row],[Estado]],Control!$C$32:$C$34,Control!$B$32:$B$34,"")</f>
        <v/>
      </c>
      <c r="G22" s="100"/>
      <c r="H22" s="143"/>
      <c r="I22" s="13" t="s">
        <v>6</v>
      </c>
      <c r="J22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2" s="13" t="s">
        <v>54</v>
      </c>
      <c r="L22" s="13">
        <v>3</v>
      </c>
      <c r="M22" s="135"/>
      <c r="N22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2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2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2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2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2" s="95" t="b">
        <f>ISNUMBER(SEARCH($H$4,Tabla1[[#This Row],[Materia]],1))</f>
        <v>1</v>
      </c>
      <c r="AC22" s="95" t="b">
        <f>IFERROR(IF(
    (COUNTIF(Tabla1[[#This Row],[R1]:[A8]], _xlfn.XLOOKUP($H$4,Tabla1[Materia],Tabla1[Numero],""))) &gt; 0,
    TRUE,
    FALSE
),FALSE)</f>
        <v>0</v>
      </c>
      <c r="AD22" s="221">
        <v>11</v>
      </c>
      <c r="AE22" s="19"/>
      <c r="AF22" s="19"/>
      <c r="AG22" s="19"/>
      <c r="AH22" s="19"/>
      <c r="AI22" s="19"/>
      <c r="AJ22" s="19"/>
      <c r="AK22" s="19"/>
      <c r="AL22" s="19"/>
      <c r="AM22" s="23"/>
    </row>
    <row r="23" spans="1:39" ht="17.25" customHeight="1" x14ac:dyDescent="0.25">
      <c r="A23" s="17"/>
      <c r="B23" s="107">
        <v>12</v>
      </c>
      <c r="C23" s="135">
        <v>12</v>
      </c>
      <c r="D23" s="180" t="s">
        <v>66</v>
      </c>
      <c r="E23" s="63" t="s">
        <v>135</v>
      </c>
      <c r="F23" s="13" t="str">
        <f>_xlfn.XLOOKUP(Tabla1[[#This Row],[Estado]],Control!$C$32:$C$34,Control!$B$32:$B$34,"")</f>
        <v/>
      </c>
      <c r="G23" s="100"/>
      <c r="H23" s="143"/>
      <c r="I23" s="13" t="s">
        <v>6</v>
      </c>
      <c r="J23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3" s="13" t="s">
        <v>54</v>
      </c>
      <c r="L23" s="13">
        <v>5</v>
      </c>
      <c r="M23" s="135"/>
      <c r="N23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3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3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3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3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3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3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3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3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3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3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3" s="95" t="b">
        <f>ISNUMBER(SEARCH($H$4,Tabla1[[#This Row],[Materia]],1))</f>
        <v>1</v>
      </c>
      <c r="AC23" s="95" t="b">
        <f>IFERROR(IF(
    (COUNTIF(Tabla1[[#This Row],[R1]:[A8]], _xlfn.XLOOKUP($H$4,Tabla1[Materia],Tabla1[Numero],""))) &gt; 0,
    TRUE,
    FALSE
),FALSE)</f>
        <v>0</v>
      </c>
      <c r="AD23" s="221">
        <v>12</v>
      </c>
      <c r="AE23" s="19"/>
      <c r="AF23" s="19"/>
      <c r="AG23" s="19"/>
      <c r="AH23" s="19"/>
      <c r="AI23" s="19"/>
      <c r="AJ23" s="19"/>
      <c r="AK23" s="19"/>
      <c r="AL23" s="19"/>
      <c r="AM23" s="23"/>
    </row>
    <row r="24" spans="1:39" ht="17.25" customHeight="1" x14ac:dyDescent="0.25">
      <c r="A24" s="17"/>
      <c r="B24" s="107">
        <v>13</v>
      </c>
      <c r="C24" s="135">
        <v>13</v>
      </c>
      <c r="D24" s="180" t="s">
        <v>66</v>
      </c>
      <c r="E24" s="63" t="s">
        <v>97</v>
      </c>
      <c r="F24" s="13" t="str">
        <f>_xlfn.XLOOKUP(Tabla1[[#This Row],[Estado]],Control!$C$32:$C$34,Control!$B$32:$B$34,"")</f>
        <v/>
      </c>
      <c r="G24" s="100"/>
      <c r="H24" s="143"/>
      <c r="I24" s="13" t="s">
        <v>6</v>
      </c>
      <c r="J24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4" s="13" t="s">
        <v>54</v>
      </c>
      <c r="L24" s="13">
        <v>4</v>
      </c>
      <c r="M24" s="135"/>
      <c r="N24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4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4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4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4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4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4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4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4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4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4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4" s="95" t="b">
        <f>ISNUMBER(SEARCH($H$4,Tabla1[[#This Row],[Materia]],1))</f>
        <v>1</v>
      </c>
      <c r="AC24" s="95" t="b">
        <f>IFERROR(IF(
    (COUNTIF(Tabla1[[#This Row],[R1]:[A8]], _xlfn.XLOOKUP($H$4,Tabla1[Materia],Tabla1[Numero],""))) &gt; 0,
    TRUE,
    FALSE
),FALSE)</f>
        <v>0</v>
      </c>
      <c r="AD24" s="221">
        <v>13</v>
      </c>
      <c r="AE24" s="19"/>
      <c r="AF24" s="19"/>
      <c r="AG24" s="19"/>
      <c r="AH24" s="19"/>
      <c r="AI24" s="19"/>
      <c r="AJ24" s="19"/>
      <c r="AK24" s="19"/>
      <c r="AL24" s="19"/>
      <c r="AM24" s="23"/>
    </row>
    <row r="25" spans="1:39" ht="17.25" customHeight="1" x14ac:dyDescent="0.25">
      <c r="A25" s="17"/>
      <c r="B25" s="107">
        <v>14</v>
      </c>
      <c r="C25" s="135">
        <v>14</v>
      </c>
      <c r="D25" s="180" t="s">
        <v>66</v>
      </c>
      <c r="E25" s="63" t="s">
        <v>98</v>
      </c>
      <c r="F25" s="13" t="str">
        <f>_xlfn.XLOOKUP(Tabla1[[#This Row],[Estado]],Control!$C$32:$C$34,Control!$B$32:$B$34,"")</f>
        <v/>
      </c>
      <c r="G25" s="100"/>
      <c r="H25" s="143"/>
      <c r="I25" s="13" t="s">
        <v>6</v>
      </c>
      <c r="J25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5" s="13" t="s">
        <v>54</v>
      </c>
      <c r="L25" s="13">
        <v>4</v>
      </c>
      <c r="M25" s="135"/>
      <c r="N25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5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5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5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5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5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5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5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5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5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5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5" s="95" t="b">
        <f>ISNUMBER(SEARCH($H$4,Tabla1[[#This Row],[Materia]],1))</f>
        <v>1</v>
      </c>
      <c r="AC25" s="95" t="b">
        <f>IFERROR(IF(
    (COUNTIF(Tabla1[[#This Row],[R1]:[A8]], _xlfn.XLOOKUP($H$4,Tabla1[Materia],Tabla1[Numero],""))) &gt; 0,
    TRUE,
    FALSE
),FALSE)</f>
        <v>0</v>
      </c>
      <c r="AD25" s="221">
        <v>14</v>
      </c>
      <c r="AE25" s="19"/>
      <c r="AF25" s="19"/>
      <c r="AG25" s="19"/>
      <c r="AH25" s="19"/>
      <c r="AI25" s="19"/>
      <c r="AJ25" s="19"/>
      <c r="AK25" s="19"/>
      <c r="AL25" s="19"/>
      <c r="AM25" s="23"/>
    </row>
    <row r="26" spans="1:39" ht="17.25" customHeight="1" x14ac:dyDescent="0.25">
      <c r="A26" s="17"/>
      <c r="B26" s="107">
        <v>15</v>
      </c>
      <c r="C26" s="135">
        <v>15</v>
      </c>
      <c r="D26" s="180" t="s">
        <v>66</v>
      </c>
      <c r="E26" s="63" t="s">
        <v>99</v>
      </c>
      <c r="F26" s="13" t="str">
        <f>_xlfn.XLOOKUP(Tabla1[[#This Row],[Estado]],Control!$C$32:$C$34,Control!$B$32:$B$34,"")</f>
        <v/>
      </c>
      <c r="G26" s="100"/>
      <c r="H26" s="143"/>
      <c r="I26" s="13" t="s">
        <v>17</v>
      </c>
      <c r="J26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6" s="13" t="s">
        <v>54</v>
      </c>
      <c r="L26" s="13">
        <v>3</v>
      </c>
      <c r="M26" s="135"/>
      <c r="N26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O26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6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6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6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6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6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6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6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6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6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6" s="95" t="b">
        <f>ISNUMBER(SEARCH($H$4,Tabla1[[#This Row],[Materia]],1))</f>
        <v>1</v>
      </c>
      <c r="AC26" s="95" t="b">
        <f>IFERROR(IF(
    (COUNTIF(Tabla1[[#This Row],[R1]:[A8]], _xlfn.XLOOKUP($H$4,Tabla1[Materia],Tabla1[Numero],""))) &gt; 0,
    TRUE,
    FALSE
),FALSE)</f>
        <v>0</v>
      </c>
      <c r="AD26" s="221">
        <v>15</v>
      </c>
      <c r="AE26" s="19"/>
      <c r="AF26" s="19"/>
      <c r="AG26" s="19"/>
      <c r="AH26" s="19"/>
      <c r="AI26" s="19"/>
      <c r="AJ26" s="19"/>
      <c r="AK26" s="19"/>
      <c r="AL26" s="19"/>
      <c r="AM26" s="23"/>
    </row>
    <row r="27" spans="1:39" ht="17.25" customHeight="1" x14ac:dyDescent="0.25">
      <c r="A27" s="17"/>
      <c r="B27" s="107">
        <v>16</v>
      </c>
      <c r="C27" s="135">
        <v>16</v>
      </c>
      <c r="D27" s="180" t="s">
        <v>66</v>
      </c>
      <c r="E27" s="63" t="s">
        <v>100</v>
      </c>
      <c r="F27" s="13" t="str">
        <f>_xlfn.XLOOKUP(Tabla1[[#This Row],[Estado]],Control!$C$32:$C$34,Control!$B$32:$B$34,"")</f>
        <v/>
      </c>
      <c r="G27" s="100"/>
      <c r="H27" s="143"/>
      <c r="I27" s="13" t="s">
        <v>16</v>
      </c>
      <c r="J27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7" s="13" t="s">
        <v>54</v>
      </c>
      <c r="L27" s="13">
        <v>3</v>
      </c>
      <c r="M27" s="135"/>
      <c r="N27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7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7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7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7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7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7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7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7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7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7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7" s="95" t="b">
        <f>ISNUMBER(SEARCH($H$4,Tabla1[[#This Row],[Materia]],1))</f>
        <v>1</v>
      </c>
      <c r="AC27" s="95" t="b">
        <f>IFERROR(IF(
    (COUNTIF(Tabla1[[#This Row],[R1]:[A8]], _xlfn.XLOOKUP($H$4,Tabla1[Materia],Tabla1[Numero],""))) &gt; 0,
    TRUE,
    FALSE
),FALSE)</f>
        <v>0</v>
      </c>
      <c r="AD27" s="221">
        <v>16</v>
      </c>
      <c r="AE27" s="19"/>
      <c r="AF27" s="19"/>
      <c r="AG27" s="19"/>
      <c r="AH27" s="19"/>
      <c r="AI27" s="19"/>
      <c r="AJ27" s="19"/>
      <c r="AK27" s="19"/>
      <c r="AL27" s="19"/>
      <c r="AM27" s="23"/>
    </row>
    <row r="28" spans="1:39" ht="17.25" customHeight="1" x14ac:dyDescent="0.25">
      <c r="A28" s="17"/>
      <c r="B28" s="107">
        <v>17</v>
      </c>
      <c r="C28" s="135">
        <v>17</v>
      </c>
      <c r="D28" s="180" t="s">
        <v>66</v>
      </c>
      <c r="E28" s="63" t="s">
        <v>87</v>
      </c>
      <c r="F28" s="13" t="str">
        <f>_xlfn.XLOOKUP(Tabla1[[#This Row],[Estado]],Control!$C$32:$C$34,Control!$B$32:$B$34,"")</f>
        <v/>
      </c>
      <c r="G28" s="100"/>
      <c r="H28" s="143"/>
      <c r="I28" s="13" t="s">
        <v>6</v>
      </c>
      <c r="J28" s="1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8" s="13" t="s">
        <v>54</v>
      </c>
      <c r="L28" s="13">
        <v>3</v>
      </c>
      <c r="M28" s="135"/>
      <c r="N28" s="10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8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8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9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8" s="10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8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8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8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8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8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8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8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8" s="95" t="b">
        <f>ISNUMBER(SEARCH($H$4,Tabla1[[#This Row],[Materia]],1))</f>
        <v>1</v>
      </c>
      <c r="AC28" s="95" t="b">
        <f>IFERROR(IF(
    (COUNTIF(Tabla1[[#This Row],[R1]:[A8]], _xlfn.XLOOKUP($H$4,Tabla1[Materia],Tabla1[Numero],""))) &gt; 0,
    TRUE,
    FALSE
),FALSE)</f>
        <v>0</v>
      </c>
      <c r="AD28" s="221">
        <v>17</v>
      </c>
      <c r="AE28" s="19"/>
      <c r="AF28" s="19"/>
      <c r="AG28" s="19"/>
      <c r="AH28" s="19"/>
      <c r="AI28" s="19"/>
      <c r="AJ28" s="19"/>
      <c r="AK28" s="19"/>
      <c r="AL28" s="19"/>
      <c r="AM28" s="23"/>
    </row>
    <row r="29" spans="1:39" ht="17.25" customHeight="1" thickBot="1" x14ac:dyDescent="0.3">
      <c r="A29" s="17"/>
      <c r="B29" s="217">
        <v>18</v>
      </c>
      <c r="C29" s="149">
        <v>18</v>
      </c>
      <c r="D29" s="181" t="s">
        <v>66</v>
      </c>
      <c r="E29" s="216" t="s">
        <v>136</v>
      </c>
      <c r="F29" s="112" t="str">
        <f>_xlfn.XLOOKUP(Tabla1[[#This Row],[Estado]],Control!$C$32:$C$34,Control!$B$32:$B$34,"")</f>
        <v/>
      </c>
      <c r="G29" s="117"/>
      <c r="H29" s="144"/>
      <c r="I29" s="112" t="s">
        <v>6</v>
      </c>
      <c r="J29" s="11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29" s="112" t="s">
        <v>54</v>
      </c>
      <c r="L29" s="112">
        <v>2</v>
      </c>
      <c r="M29" s="149"/>
      <c r="N29" s="217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9" s="11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9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11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11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12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9" s="21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29" s="11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9" s="11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9" s="11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9" s="11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9" s="11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9" s="11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9" s="12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9" s="161" t="b">
        <f>ISNUMBER(SEARCH($H$4,Tabla1[[#This Row],[Materia]],1))</f>
        <v>1</v>
      </c>
      <c r="AC29" s="161" t="b">
        <f>IFERROR(IF(
    (COUNTIF(Tabla1[[#This Row],[R1]:[A8]], _xlfn.XLOOKUP($H$4,Tabla1[Materia],Tabla1[Numero],""))) &gt; 0,
    TRUE,
    FALSE
),FALSE)</f>
        <v>0</v>
      </c>
      <c r="AD29" s="221">
        <v>18</v>
      </c>
      <c r="AE29" s="19"/>
      <c r="AF29" s="19"/>
      <c r="AG29" s="19"/>
      <c r="AH29" s="19"/>
      <c r="AI29" s="19"/>
      <c r="AJ29" s="19"/>
      <c r="AK29" s="19"/>
      <c r="AL29" s="19"/>
      <c r="AM29" s="23"/>
    </row>
    <row r="30" spans="1:39" ht="17.25" customHeight="1" x14ac:dyDescent="0.25">
      <c r="A30" s="17"/>
      <c r="B30" s="223">
        <v>19</v>
      </c>
      <c r="C30" s="136">
        <v>19</v>
      </c>
      <c r="D30" s="182" t="s">
        <v>67</v>
      </c>
      <c r="E30" s="64" t="s">
        <v>101</v>
      </c>
      <c r="F30" s="43" t="str">
        <f>_xlfn.XLOOKUP(Tabla1[[#This Row],[Estado]],Control!$C$32:$C$34,Control!$B$32:$B$34,"")</f>
        <v/>
      </c>
      <c r="G30" s="101"/>
      <c r="H30" s="145"/>
      <c r="I30" s="43" t="s">
        <v>16</v>
      </c>
      <c r="J30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0" s="43" t="s">
        <v>54</v>
      </c>
      <c r="L30" s="43">
        <v>2</v>
      </c>
      <c r="M30" s="136"/>
      <c r="N30" s="16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30" s="16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8</v>
      </c>
      <c r="P30" s="16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16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16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16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0" s="16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30" s="16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0" s="16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0" s="16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0" s="16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0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0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0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0" s="95" t="b">
        <f>ISNUMBER(SEARCH($H$4,Tabla1[[#This Row],[Materia]],1))</f>
        <v>1</v>
      </c>
      <c r="AC30" s="95" t="b">
        <f>IFERROR(IF(
    (COUNTIF(Tabla1[[#This Row],[R1]:[A8]], _xlfn.XLOOKUP($H$4,Tabla1[Materia],Tabla1[Numero],""))) &gt; 0,
    TRUE,
    FALSE
),FALSE)</f>
        <v>0</v>
      </c>
      <c r="AD30" s="221">
        <v>19</v>
      </c>
      <c r="AE30" s="19"/>
      <c r="AF30" s="19"/>
      <c r="AG30" s="19"/>
      <c r="AH30" s="19"/>
      <c r="AI30" s="19"/>
      <c r="AJ30" s="19"/>
      <c r="AK30" s="19"/>
      <c r="AL30" s="19"/>
      <c r="AM30" s="23"/>
    </row>
    <row r="31" spans="1:39" ht="17.25" customHeight="1" x14ac:dyDescent="0.25">
      <c r="A31" s="17"/>
      <c r="B31" s="223">
        <v>20</v>
      </c>
      <c r="C31" s="136">
        <v>20</v>
      </c>
      <c r="D31" s="182" t="s">
        <v>67</v>
      </c>
      <c r="E31" s="65" t="s">
        <v>137</v>
      </c>
      <c r="F31" s="43" t="str">
        <f>_xlfn.XLOOKUP(Tabla1[[#This Row],[Estado]],Control!$C$32:$C$34,Control!$B$32:$B$34,"")</f>
        <v/>
      </c>
      <c r="G31" s="101"/>
      <c r="H31" s="145"/>
      <c r="I31" s="43" t="s">
        <v>6</v>
      </c>
      <c r="J31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1" s="43" t="s">
        <v>54</v>
      </c>
      <c r="L31" s="43">
        <v>4</v>
      </c>
      <c r="M31" s="136"/>
      <c r="N31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1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1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1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1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1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1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1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1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1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1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1" s="95" t="b">
        <f>ISNUMBER(SEARCH($H$4,Tabla1[[#This Row],[Materia]],1))</f>
        <v>1</v>
      </c>
      <c r="AC31" s="95" t="b">
        <f>IFERROR(IF(
    (COUNTIF(Tabla1[[#This Row],[R1]:[A8]], _xlfn.XLOOKUP($H$4,Tabla1[Materia],Tabla1[Numero],""))) &gt; 0,
    TRUE,
    FALSE
),FALSE)</f>
        <v>0</v>
      </c>
      <c r="AD31" s="221">
        <v>20</v>
      </c>
      <c r="AE31" s="19"/>
      <c r="AF31" s="19"/>
      <c r="AH31" s="19"/>
      <c r="AI31" s="19"/>
      <c r="AJ31" s="19"/>
      <c r="AK31" s="19"/>
      <c r="AL31" s="19"/>
      <c r="AM31" s="23"/>
    </row>
    <row r="32" spans="1:39" ht="17.25" customHeight="1" x14ac:dyDescent="0.25">
      <c r="A32" s="17"/>
      <c r="B32" s="223">
        <v>21</v>
      </c>
      <c r="C32" s="136">
        <v>21</v>
      </c>
      <c r="D32" s="182" t="s">
        <v>67</v>
      </c>
      <c r="E32" s="65" t="s">
        <v>94</v>
      </c>
      <c r="F32" s="43" t="str">
        <f>_xlfn.XLOOKUP(Tabla1[[#This Row],[Estado]],Control!$C$32:$C$34,Control!$B$32:$B$34,"")</f>
        <v/>
      </c>
      <c r="G32" s="101"/>
      <c r="H32" s="145"/>
      <c r="I32" s="43" t="s">
        <v>17</v>
      </c>
      <c r="J32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2" s="43" t="s">
        <v>54</v>
      </c>
      <c r="L32" s="43">
        <v>3</v>
      </c>
      <c r="M32" s="136"/>
      <c r="N32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32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32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2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2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2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2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2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2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2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2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2" s="95" t="b">
        <f>ISNUMBER(SEARCH($H$4,Tabla1[[#This Row],[Materia]],1))</f>
        <v>1</v>
      </c>
      <c r="AC32" s="95" t="b">
        <f>IFERROR(IF(
    (COUNTIF(Tabla1[[#This Row],[R1]:[A8]], _xlfn.XLOOKUP($H$4,Tabla1[Materia],Tabla1[Numero],""))) &gt; 0,
    TRUE,
    FALSE
),FALSE)</f>
        <v>0</v>
      </c>
      <c r="AD32" s="221">
        <v>21</v>
      </c>
      <c r="AE32" s="19"/>
      <c r="AF32" s="19"/>
      <c r="AG32" s="19"/>
      <c r="AH32" s="19"/>
      <c r="AI32" s="19"/>
      <c r="AJ32" s="19"/>
      <c r="AK32" s="19"/>
      <c r="AL32" s="19"/>
      <c r="AM32" s="23"/>
    </row>
    <row r="33" spans="1:39" ht="17.25" customHeight="1" x14ac:dyDescent="0.25">
      <c r="A33" s="17"/>
      <c r="B33" s="223">
        <v>22</v>
      </c>
      <c r="C33" s="136">
        <v>22</v>
      </c>
      <c r="D33" s="182" t="s">
        <v>67</v>
      </c>
      <c r="E33" s="65" t="s">
        <v>102</v>
      </c>
      <c r="F33" s="43" t="str">
        <f>_xlfn.XLOOKUP(Tabla1[[#This Row],[Estado]],Control!$C$32:$C$34,Control!$B$32:$B$34,"")</f>
        <v/>
      </c>
      <c r="G33" s="101"/>
      <c r="H33" s="145"/>
      <c r="I33" s="43" t="s">
        <v>16</v>
      </c>
      <c r="J33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3" s="43" t="s">
        <v>54</v>
      </c>
      <c r="L33" s="43">
        <v>3</v>
      </c>
      <c r="M33" s="136"/>
      <c r="N33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33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33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3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U33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3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3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3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3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3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3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3" s="95" t="b">
        <f>ISNUMBER(SEARCH($H$4,Tabla1[[#This Row],[Materia]],1))</f>
        <v>1</v>
      </c>
      <c r="AC33" s="95" t="b">
        <f>IFERROR(IF(
    (COUNTIF(Tabla1[[#This Row],[R1]:[A8]], _xlfn.XLOOKUP($H$4,Tabla1[Materia],Tabla1[Numero],""))) &gt; 0,
    TRUE,
    FALSE
),FALSE)</f>
        <v>0</v>
      </c>
      <c r="AD33" s="221">
        <v>22</v>
      </c>
      <c r="AE33" s="19"/>
      <c r="AF33" s="19"/>
      <c r="AG33" s="19"/>
      <c r="AH33" s="19"/>
      <c r="AI33" s="19"/>
      <c r="AJ33" s="19"/>
      <c r="AK33" s="19"/>
      <c r="AL33" s="19"/>
      <c r="AM33" s="23"/>
    </row>
    <row r="34" spans="1:39" ht="17.25" customHeight="1" x14ac:dyDescent="0.25">
      <c r="A34" s="17"/>
      <c r="B34" s="223">
        <v>23</v>
      </c>
      <c r="C34" s="136">
        <v>23</v>
      </c>
      <c r="D34" s="182" t="s">
        <v>67</v>
      </c>
      <c r="E34" s="65" t="s">
        <v>103</v>
      </c>
      <c r="F34" s="43" t="str">
        <f>_xlfn.XLOOKUP(Tabla1[[#This Row],[Estado]],Control!$C$32:$C$34,Control!$B$32:$B$34,"")</f>
        <v/>
      </c>
      <c r="G34" s="101"/>
      <c r="H34" s="145"/>
      <c r="I34" s="43" t="s">
        <v>6</v>
      </c>
      <c r="J34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4" s="43" t="s">
        <v>54</v>
      </c>
      <c r="L34" s="43">
        <v>4</v>
      </c>
      <c r="M34" s="136"/>
      <c r="N34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4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4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4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4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4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4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4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4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4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4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4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4" s="95" t="b">
        <f>ISNUMBER(SEARCH($H$4,Tabla1[[#This Row],[Materia]],1))</f>
        <v>1</v>
      </c>
      <c r="AC34" s="95" t="b">
        <f>IFERROR(IF(
    (COUNTIF(Tabla1[[#This Row],[R1]:[A8]], _xlfn.XLOOKUP($H$4,Tabla1[Materia],Tabla1[Numero],""))) &gt; 0,
    TRUE,
    FALSE
),FALSE)</f>
        <v>0</v>
      </c>
      <c r="AD34" s="221">
        <v>23</v>
      </c>
      <c r="AE34" s="19"/>
      <c r="AF34" s="19"/>
      <c r="AG34" s="19"/>
      <c r="AH34" s="19"/>
      <c r="AI34" s="19"/>
      <c r="AJ34" s="19"/>
      <c r="AK34" s="19"/>
      <c r="AL34" s="19"/>
      <c r="AM34" s="23"/>
    </row>
    <row r="35" spans="1:39" ht="17.25" customHeight="1" x14ac:dyDescent="0.25">
      <c r="A35" s="17"/>
      <c r="B35" s="223">
        <v>24</v>
      </c>
      <c r="C35" s="136">
        <v>24</v>
      </c>
      <c r="D35" s="182" t="s">
        <v>67</v>
      </c>
      <c r="E35" s="65" t="s">
        <v>104</v>
      </c>
      <c r="F35" s="43" t="str">
        <f>_xlfn.XLOOKUP(Tabla1[[#This Row],[Estado]],Control!$C$32:$C$34,Control!$B$32:$B$34,"")</f>
        <v/>
      </c>
      <c r="G35" s="101"/>
      <c r="H35" s="145"/>
      <c r="I35" s="43" t="s">
        <v>17</v>
      </c>
      <c r="J35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5" s="43" t="s">
        <v>54</v>
      </c>
      <c r="L35" s="43">
        <v>3</v>
      </c>
      <c r="M35" s="136"/>
      <c r="N35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5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5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5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5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5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5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5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5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5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5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5" s="95" t="b">
        <f>ISNUMBER(SEARCH($H$4,Tabla1[[#This Row],[Materia]],1))</f>
        <v>1</v>
      </c>
      <c r="AC35" s="95" t="b">
        <f>IFERROR(IF(
    (COUNTIF(Tabla1[[#This Row],[R1]:[A8]], _xlfn.XLOOKUP($H$4,Tabla1[Materia],Tabla1[Numero],""))) &gt; 0,
    TRUE,
    FALSE
),FALSE)</f>
        <v>0</v>
      </c>
      <c r="AD35" s="221">
        <v>24</v>
      </c>
      <c r="AE35" s="19"/>
      <c r="AF35" s="19"/>
      <c r="AG35" s="19"/>
      <c r="AH35" s="19"/>
      <c r="AI35" s="19"/>
      <c r="AJ35" s="19"/>
      <c r="AK35" s="19"/>
      <c r="AL35" s="19"/>
      <c r="AM35" s="23"/>
    </row>
    <row r="36" spans="1:39" ht="17.25" customHeight="1" x14ac:dyDescent="0.25">
      <c r="A36" s="17"/>
      <c r="B36" s="223">
        <v>25</v>
      </c>
      <c r="C36" s="136">
        <v>25</v>
      </c>
      <c r="D36" s="182" t="s">
        <v>67</v>
      </c>
      <c r="E36" s="65" t="s">
        <v>105</v>
      </c>
      <c r="F36" s="43" t="str">
        <f>_xlfn.XLOOKUP(Tabla1[[#This Row],[Estado]],Control!$C$32:$C$34,Control!$B$32:$B$34,"")</f>
        <v/>
      </c>
      <c r="G36" s="101"/>
      <c r="H36" s="145"/>
      <c r="I36" s="43" t="s">
        <v>16</v>
      </c>
      <c r="J36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6" s="43" t="s">
        <v>54</v>
      </c>
      <c r="L36" s="43">
        <v>3</v>
      </c>
      <c r="M36" s="136"/>
      <c r="N36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36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6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6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U36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5</v>
      </c>
      <c r="V36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6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6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6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6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6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6" s="95" t="b">
        <f>ISNUMBER(SEARCH($H$4,Tabla1[[#This Row],[Materia]],1))</f>
        <v>1</v>
      </c>
      <c r="AC36" s="95" t="b">
        <f>IFERROR(IF(
    (COUNTIF(Tabla1[[#This Row],[R1]:[A8]], _xlfn.XLOOKUP($H$4,Tabla1[Materia],Tabla1[Numero],""))) &gt; 0,
    TRUE,
    FALSE
),FALSE)</f>
        <v>0</v>
      </c>
      <c r="AD36" s="221">
        <v>25</v>
      </c>
      <c r="AE36" s="19"/>
      <c r="AF36" s="19"/>
      <c r="AG36" s="19"/>
      <c r="AH36" s="19"/>
      <c r="AI36" s="19"/>
      <c r="AJ36" s="19"/>
      <c r="AK36" s="19"/>
      <c r="AL36" s="19"/>
      <c r="AM36" s="23"/>
    </row>
    <row r="37" spans="1:39" ht="17.25" customHeight="1" x14ac:dyDescent="0.25">
      <c r="A37" s="17"/>
      <c r="B37" s="223">
        <v>26</v>
      </c>
      <c r="C37" s="136">
        <v>26</v>
      </c>
      <c r="D37" s="182" t="s">
        <v>67</v>
      </c>
      <c r="E37" s="65" t="s">
        <v>106</v>
      </c>
      <c r="F37" s="43" t="str">
        <f>_xlfn.XLOOKUP(Tabla1[[#This Row],[Estado]],Control!$C$32:$C$34,Control!$B$32:$B$34,"")</f>
        <v/>
      </c>
      <c r="G37" s="101"/>
      <c r="H37" s="145"/>
      <c r="I37" s="43" t="s">
        <v>16</v>
      </c>
      <c r="J37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7" s="43" t="s">
        <v>54</v>
      </c>
      <c r="L37" s="43">
        <v>3</v>
      </c>
      <c r="M37" s="136"/>
      <c r="N37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7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7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7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7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U37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7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7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7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7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7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7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7" s="95" t="b">
        <f>ISNUMBER(SEARCH($H$4,Tabla1[[#This Row],[Materia]],1))</f>
        <v>1</v>
      </c>
      <c r="AC37" s="95" t="b">
        <f>IFERROR(IF(
    (COUNTIF(Tabla1[[#This Row],[R1]:[A8]], _xlfn.XLOOKUP($H$4,Tabla1[Materia],Tabla1[Numero],""))) &gt; 0,
    TRUE,
    FALSE
),FALSE)</f>
        <v>0</v>
      </c>
      <c r="AD37" s="221">
        <v>26</v>
      </c>
      <c r="AE37" s="19"/>
      <c r="AF37" s="19"/>
      <c r="AG37" s="19"/>
      <c r="AH37" s="19"/>
      <c r="AI37" s="19"/>
      <c r="AJ37" s="19"/>
      <c r="AK37" s="19"/>
      <c r="AL37" s="19"/>
      <c r="AM37" s="23"/>
    </row>
    <row r="38" spans="1:39" ht="17.25" customHeight="1" x14ac:dyDescent="0.25">
      <c r="A38" s="17"/>
      <c r="B38" s="223">
        <v>27</v>
      </c>
      <c r="C38" s="136">
        <v>27</v>
      </c>
      <c r="D38" s="182" t="s">
        <v>67</v>
      </c>
      <c r="E38" s="65" t="s">
        <v>122</v>
      </c>
      <c r="F38" s="43" t="str">
        <f>_xlfn.XLOOKUP(Tabla1[[#This Row],[Estado]],Control!$C$32:$C$34,Control!$B$32:$B$34,"")</f>
        <v/>
      </c>
      <c r="G38" s="101"/>
      <c r="H38" s="145"/>
      <c r="I38" s="43" t="s">
        <v>17</v>
      </c>
      <c r="J38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8" s="43" t="s">
        <v>54</v>
      </c>
      <c r="L38" s="43">
        <v>3</v>
      </c>
      <c r="M38" s="136"/>
      <c r="N38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8" s="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8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8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8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8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8" s="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8" s="7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</v>
      </c>
      <c r="W38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8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8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8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8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8" s="95" t="b">
        <f>ISNUMBER(SEARCH($H$4,Tabla1[[#This Row],[Materia]],1))</f>
        <v>1</v>
      </c>
      <c r="AC38" s="95" t="b">
        <f>IFERROR(IF(
    (COUNTIF(Tabla1[[#This Row],[R1]:[A8]], _xlfn.XLOOKUP($H$4,Tabla1[Materia],Tabla1[Numero],""))) &gt; 0,
    TRUE,
    FALSE
),FALSE)</f>
        <v>0</v>
      </c>
      <c r="AD38" s="221">
        <v>27</v>
      </c>
      <c r="AE38" s="19"/>
      <c r="AF38" s="19"/>
      <c r="AG38" s="19"/>
      <c r="AH38" s="19"/>
      <c r="AI38" s="19"/>
      <c r="AJ38" s="19"/>
      <c r="AK38" s="19"/>
      <c r="AL38" s="19"/>
      <c r="AM38" s="23"/>
    </row>
    <row r="39" spans="1:39" ht="17.25" customHeight="1" x14ac:dyDescent="0.25">
      <c r="A39" s="17"/>
      <c r="B39" s="223">
        <v>28</v>
      </c>
      <c r="C39" s="136">
        <v>28</v>
      </c>
      <c r="D39" s="182" t="s">
        <v>67</v>
      </c>
      <c r="E39" s="65" t="s">
        <v>107</v>
      </c>
      <c r="F39" s="43" t="str">
        <f>_xlfn.XLOOKUP(Tabla1[[#This Row],[Estado]],Control!$C$32:$C$34,Control!$B$32:$B$34,"")</f>
        <v/>
      </c>
      <c r="G39" s="101"/>
      <c r="H39" s="145"/>
      <c r="I39" s="43" t="s">
        <v>6</v>
      </c>
      <c r="J39" s="43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39" s="43" t="s">
        <v>54</v>
      </c>
      <c r="L39" s="43">
        <v>3</v>
      </c>
      <c r="M39" s="136"/>
      <c r="N39" s="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9" s="7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15</v>
      </c>
      <c r="P39" s="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7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7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7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9" s="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U39" s="7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9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9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9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9" s="2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9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9" s="9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9" s="95" t="b">
        <f>ISNUMBER(SEARCH($H$4,Tabla1[[#This Row],[Materia]],1))</f>
        <v>1</v>
      </c>
      <c r="AC39" s="95" t="b">
        <f>IFERROR(IF(
    (COUNTIF(Tabla1[[#This Row],[R1]:[A8]], _xlfn.XLOOKUP($H$4,Tabla1[Materia],Tabla1[Numero],""))) &gt; 0,
    TRUE,
    FALSE
),FALSE)</f>
        <v>0</v>
      </c>
      <c r="AD39" s="221">
        <v>28</v>
      </c>
      <c r="AE39" s="19"/>
      <c r="AF39" s="19"/>
      <c r="AG39" s="19"/>
      <c r="AH39" s="19"/>
      <c r="AI39" s="19"/>
      <c r="AJ39" s="19"/>
      <c r="AK39" s="19"/>
      <c r="AL39" s="19"/>
      <c r="AM39" s="23"/>
    </row>
    <row r="40" spans="1:39" ht="17.25" customHeight="1" thickBot="1" x14ac:dyDescent="0.3">
      <c r="A40" s="17"/>
      <c r="B40" s="224">
        <v>29</v>
      </c>
      <c r="C40" s="153">
        <v>29</v>
      </c>
      <c r="D40" s="183" t="s">
        <v>67</v>
      </c>
      <c r="E40" s="154" t="s">
        <v>108</v>
      </c>
      <c r="F40" s="152" t="str">
        <f>_xlfn.XLOOKUP(Tabla1[[#This Row],[Estado]],Control!$C$32:$C$34,Control!$B$32:$B$34,"")</f>
        <v/>
      </c>
      <c r="G40" s="155"/>
      <c r="H40" s="156"/>
      <c r="I40" s="152" t="s">
        <v>17</v>
      </c>
      <c r="J40" s="15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0" s="152" t="s">
        <v>54</v>
      </c>
      <c r="L40" s="152">
        <v>2</v>
      </c>
      <c r="M40" s="153"/>
      <c r="N40" s="15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7</v>
      </c>
      <c r="O40" s="158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40" s="158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14</v>
      </c>
      <c r="Q40" s="158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15</v>
      </c>
      <c r="R40" s="15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15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0" s="15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40" s="15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0" s="15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0" s="15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0" s="158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0" s="21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0" s="21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0" s="16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0" s="161" t="b">
        <f>ISNUMBER(SEARCH($H$4,Tabla1[[#This Row],[Materia]],1))</f>
        <v>1</v>
      </c>
      <c r="AC40" s="161" t="b">
        <f>IFERROR(IF(
    (COUNTIF(Tabla1[[#This Row],[R1]:[A8]], _xlfn.XLOOKUP($H$4,Tabla1[Materia],Tabla1[Numero],""))) &gt; 0,
    TRUE,
    FALSE
),FALSE)</f>
        <v>0</v>
      </c>
      <c r="AD40" s="221">
        <v>29</v>
      </c>
      <c r="AE40" s="19"/>
      <c r="AF40" s="19"/>
      <c r="AG40" s="19"/>
      <c r="AH40" s="19"/>
      <c r="AI40" s="19"/>
      <c r="AJ40" s="19"/>
      <c r="AK40" s="19"/>
      <c r="AL40" s="19"/>
      <c r="AM40" s="23"/>
    </row>
    <row r="41" spans="1:39" ht="17.25" customHeight="1" x14ac:dyDescent="0.25">
      <c r="A41" s="17"/>
      <c r="B41" s="225">
        <v>30</v>
      </c>
      <c r="C41" s="137">
        <v>30</v>
      </c>
      <c r="D41" s="184" t="s">
        <v>68</v>
      </c>
      <c r="E41" s="66" t="s">
        <v>138</v>
      </c>
      <c r="F41" s="42" t="str">
        <f>_xlfn.XLOOKUP(Tabla1[[#This Row],[Estado]],Control!$C$32:$C$34,Control!$B$32:$B$34,"")</f>
        <v/>
      </c>
      <c r="G41" s="102"/>
      <c r="H41" s="146"/>
      <c r="I41" s="42" t="s">
        <v>6</v>
      </c>
      <c r="J41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1" s="42" t="s">
        <v>54</v>
      </c>
      <c r="L41" s="42">
        <v>4</v>
      </c>
      <c r="M41" s="137"/>
      <c r="N41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1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1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1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1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1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1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1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41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1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1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1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1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1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1" s="95" t="b">
        <f>ISNUMBER(SEARCH($H$4,Tabla1[[#This Row],[Materia]],1))</f>
        <v>1</v>
      </c>
      <c r="AC41" s="95" t="b">
        <f>IFERROR(IF(
    (COUNTIF(Tabla1[[#This Row],[R1]:[A8]], _xlfn.XLOOKUP($H$4,Tabla1[Materia],Tabla1[Numero],""))) &gt; 0,
    TRUE,
    FALSE
),FALSE)</f>
        <v>0</v>
      </c>
      <c r="AD41" s="221">
        <v>30</v>
      </c>
      <c r="AE41" s="19"/>
      <c r="AF41" s="19"/>
      <c r="AG41" s="19"/>
      <c r="AH41" s="19"/>
      <c r="AI41" s="19"/>
      <c r="AJ41" s="19"/>
      <c r="AK41" s="19"/>
      <c r="AL41" s="19"/>
      <c r="AM41" s="23"/>
    </row>
    <row r="42" spans="1:39" ht="17.25" customHeight="1" x14ac:dyDescent="0.25">
      <c r="A42" s="17"/>
      <c r="B42" s="225">
        <v>31</v>
      </c>
      <c r="C42" s="137">
        <v>31</v>
      </c>
      <c r="D42" s="184" t="s">
        <v>68</v>
      </c>
      <c r="E42" s="66" t="s">
        <v>109</v>
      </c>
      <c r="F42" s="42" t="str">
        <f>_xlfn.XLOOKUP(Tabla1[[#This Row],[Estado]],Control!$C$32:$C$34,Control!$B$32:$B$34,"")</f>
        <v/>
      </c>
      <c r="G42" s="102"/>
      <c r="H42" s="146"/>
      <c r="I42" s="42" t="s">
        <v>17</v>
      </c>
      <c r="J42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2" s="42" t="s">
        <v>54</v>
      </c>
      <c r="L42" s="42">
        <v>4</v>
      </c>
      <c r="M42" s="137"/>
      <c r="N42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2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42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24</v>
      </c>
      <c r="Q42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2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2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42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16</v>
      </c>
      <c r="W42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2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2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2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2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2" s="95" t="b">
        <f>ISNUMBER(SEARCH($H$4,Tabla1[[#This Row],[Materia]],1))</f>
        <v>1</v>
      </c>
      <c r="AC42" s="95" t="b">
        <f>IFERROR(IF(
    (COUNTIF(Tabla1[[#This Row],[R1]:[A8]], _xlfn.XLOOKUP($H$4,Tabla1[Materia],Tabla1[Numero],""))) &gt; 0,
    TRUE,
    FALSE
),FALSE)</f>
        <v>0</v>
      </c>
      <c r="AD42" s="221">
        <v>31</v>
      </c>
      <c r="AE42" s="19"/>
      <c r="AF42" s="19"/>
      <c r="AG42" s="19"/>
      <c r="AH42" s="19"/>
      <c r="AI42" s="19"/>
      <c r="AJ42" s="19"/>
      <c r="AK42" s="19"/>
      <c r="AL42" s="19"/>
      <c r="AM42" s="23"/>
    </row>
    <row r="43" spans="1:39" ht="17.25" customHeight="1" x14ac:dyDescent="0.25">
      <c r="A43" s="17"/>
      <c r="B43" s="225">
        <v>32</v>
      </c>
      <c r="C43" s="137">
        <v>32</v>
      </c>
      <c r="D43" s="184" t="s">
        <v>68</v>
      </c>
      <c r="E43" s="66" t="s">
        <v>110</v>
      </c>
      <c r="F43" s="42" t="str">
        <f>_xlfn.XLOOKUP(Tabla1[[#This Row],[Estado]],Control!$C$32:$C$34,Control!$B$32:$B$34,"")</f>
        <v/>
      </c>
      <c r="G43" s="102"/>
      <c r="H43" s="146"/>
      <c r="I43" s="42" t="s">
        <v>16</v>
      </c>
      <c r="J43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3" s="42" t="s">
        <v>54</v>
      </c>
      <c r="L43" s="42">
        <v>3</v>
      </c>
      <c r="M43" s="137"/>
      <c r="N43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3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43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25</v>
      </c>
      <c r="Q43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3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3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43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16</v>
      </c>
      <c r="W43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3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3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3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3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3" s="95" t="b">
        <f>ISNUMBER(SEARCH($H$4,Tabla1[[#This Row],[Materia]],1))</f>
        <v>1</v>
      </c>
      <c r="AC43" s="95" t="b">
        <f>IFERROR(IF(
    (COUNTIF(Tabla1[[#This Row],[R1]:[A8]], _xlfn.XLOOKUP($H$4,Tabla1[Materia],Tabla1[Numero],""))) &gt; 0,
    TRUE,
    FALSE
),FALSE)</f>
        <v>0</v>
      </c>
      <c r="AD43" s="221">
        <v>32</v>
      </c>
      <c r="AE43" s="19"/>
      <c r="AF43" s="19"/>
      <c r="AG43" s="19"/>
      <c r="AH43" s="19"/>
      <c r="AI43" s="19"/>
      <c r="AJ43" s="19"/>
      <c r="AK43" s="19"/>
      <c r="AL43" s="19"/>
      <c r="AM43" s="23"/>
    </row>
    <row r="44" spans="1:39" ht="17.25" customHeight="1" x14ac:dyDescent="0.25">
      <c r="A44" s="17"/>
      <c r="B44" s="225">
        <v>33</v>
      </c>
      <c r="C44" s="137">
        <v>33</v>
      </c>
      <c r="D44" s="184" t="s">
        <v>68</v>
      </c>
      <c r="E44" s="66" t="s">
        <v>123</v>
      </c>
      <c r="F44" s="42" t="str">
        <f>_xlfn.XLOOKUP(Tabla1[[#This Row],[Estado]],Control!$C$32:$C$34,Control!$B$32:$B$34,"")</f>
        <v/>
      </c>
      <c r="G44" s="102"/>
      <c r="H44" s="146"/>
      <c r="I44" s="42" t="s">
        <v>16</v>
      </c>
      <c r="J44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4" s="42" t="s">
        <v>54</v>
      </c>
      <c r="L44" s="42">
        <v>3</v>
      </c>
      <c r="M44" s="137"/>
      <c r="N44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4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44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44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4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44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4" s="7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14</v>
      </c>
      <c r="W44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4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4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4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4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4" s="95" t="b">
        <f>ISNUMBER(SEARCH($H$4,Tabla1[[#This Row],[Materia]],1))</f>
        <v>1</v>
      </c>
      <c r="AC44" s="95" t="b">
        <f>IFERROR(IF(
    (COUNTIF(Tabla1[[#This Row],[R1]:[A8]], _xlfn.XLOOKUP($H$4,Tabla1[Materia],Tabla1[Numero],""))) &gt; 0,
    TRUE,
    FALSE
),FALSE)</f>
        <v>0</v>
      </c>
      <c r="AD44" s="221">
        <v>33</v>
      </c>
      <c r="AE44" s="19"/>
      <c r="AF44" s="19"/>
      <c r="AG44" s="19"/>
      <c r="AH44" s="19"/>
      <c r="AI44" s="19"/>
      <c r="AJ44" s="19"/>
      <c r="AK44" s="19"/>
      <c r="AL44" s="19"/>
      <c r="AM44" s="23"/>
    </row>
    <row r="45" spans="1:39" ht="17.25" customHeight="1" x14ac:dyDescent="0.25">
      <c r="A45" s="17"/>
      <c r="B45" s="225">
        <v>34</v>
      </c>
      <c r="C45" s="137">
        <v>34</v>
      </c>
      <c r="D45" s="184" t="s">
        <v>68</v>
      </c>
      <c r="E45" s="66" t="s">
        <v>124</v>
      </c>
      <c r="F45" s="42" t="str">
        <f>_xlfn.XLOOKUP(Tabla1[[#This Row],[Estado]],Control!$C$32:$C$34,Control!$B$32:$B$34,"")</f>
        <v/>
      </c>
      <c r="G45" s="102"/>
      <c r="H45" s="146"/>
      <c r="I45" s="42" t="s">
        <v>17</v>
      </c>
      <c r="J45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5" s="42" t="s">
        <v>54</v>
      </c>
      <c r="L45" s="42">
        <v>3</v>
      </c>
      <c r="M45" s="137"/>
      <c r="N45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45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5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5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5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U45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5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5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5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5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5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5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5" s="95" t="b">
        <f>ISNUMBER(SEARCH($H$4,Tabla1[[#This Row],[Materia]],1))</f>
        <v>1</v>
      </c>
      <c r="AC45" s="95" t="b">
        <f>IFERROR(IF(
    (COUNTIF(Tabla1[[#This Row],[R1]:[A8]], _xlfn.XLOOKUP($H$4,Tabla1[Materia],Tabla1[Numero],""))) &gt; 0,
    TRUE,
    FALSE
),FALSE)</f>
        <v>0</v>
      </c>
      <c r="AD45" s="221">
        <v>34</v>
      </c>
      <c r="AE45" s="19"/>
      <c r="AF45" s="19"/>
      <c r="AG45" s="19"/>
      <c r="AH45" s="19"/>
      <c r="AI45" s="19"/>
      <c r="AJ45" s="19"/>
      <c r="AK45" s="19"/>
      <c r="AL45" s="19"/>
      <c r="AM45" s="23"/>
    </row>
    <row r="46" spans="1:39" ht="17.25" customHeight="1" x14ac:dyDescent="0.25">
      <c r="A46" s="17"/>
      <c r="B46" s="225">
        <v>35</v>
      </c>
      <c r="C46" s="137">
        <v>35</v>
      </c>
      <c r="D46" s="184" t="s">
        <v>68</v>
      </c>
      <c r="E46" s="66" t="s">
        <v>125</v>
      </c>
      <c r="F46" s="42" t="str">
        <f>_xlfn.XLOOKUP(Tabla1[[#This Row],[Estado]],Control!$C$32:$C$34,Control!$B$32:$B$34,"")</f>
        <v/>
      </c>
      <c r="G46" s="102"/>
      <c r="H46" s="146"/>
      <c r="I46" s="42" t="s">
        <v>6</v>
      </c>
      <c r="J46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6" s="42" t="s">
        <v>54</v>
      </c>
      <c r="L46" s="42">
        <v>4</v>
      </c>
      <c r="M46" s="137"/>
      <c r="N46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6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46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25</v>
      </c>
      <c r="Q46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6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6" s="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6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6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6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6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6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6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6" s="95" t="b">
        <f>ISNUMBER(SEARCH($H$4,Tabla1[[#This Row],[Materia]],1))</f>
        <v>1</v>
      </c>
      <c r="AC46" s="95" t="b">
        <f>IFERROR(IF(
    (COUNTIF(Tabla1[[#This Row],[R1]:[A8]], _xlfn.XLOOKUP($H$4,Tabla1[Materia],Tabla1[Numero],""))) &gt; 0,
    TRUE,
    FALSE
),FALSE)</f>
        <v>0</v>
      </c>
      <c r="AD46" s="221">
        <v>35</v>
      </c>
      <c r="AE46" s="19"/>
      <c r="AF46" s="19"/>
      <c r="AG46" s="19"/>
      <c r="AH46" s="19"/>
      <c r="AI46" s="19"/>
      <c r="AJ46" s="19"/>
      <c r="AK46" s="19"/>
      <c r="AL46" s="19"/>
      <c r="AM46" s="23"/>
    </row>
    <row r="47" spans="1:39" ht="17.25" customHeight="1" x14ac:dyDescent="0.25">
      <c r="A47" s="17"/>
      <c r="B47" s="225">
        <v>36</v>
      </c>
      <c r="C47" s="137">
        <v>36</v>
      </c>
      <c r="D47" s="184" t="s">
        <v>68</v>
      </c>
      <c r="E47" s="66" t="s">
        <v>111</v>
      </c>
      <c r="F47" s="42" t="str">
        <f>_xlfn.XLOOKUP(Tabla1[[#This Row],[Estado]],Control!$C$32:$C$34,Control!$B$32:$B$34,"")</f>
        <v/>
      </c>
      <c r="G47" s="102"/>
      <c r="H47" s="146"/>
      <c r="I47" s="42" t="s">
        <v>17</v>
      </c>
      <c r="J47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7" s="42" t="s">
        <v>54</v>
      </c>
      <c r="L47" s="42">
        <v>2</v>
      </c>
      <c r="M47" s="137"/>
      <c r="N47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7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P47" s="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Q47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7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47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7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7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7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7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7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7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7" s="95" t="b">
        <f>ISNUMBER(SEARCH($H$4,Tabla1[[#This Row],[Materia]],1))</f>
        <v>1</v>
      </c>
      <c r="AC47" s="95" t="b">
        <f>IFERROR(IF(
    (COUNTIF(Tabla1[[#This Row],[R1]:[A8]], _xlfn.XLOOKUP($H$4,Tabla1[Materia],Tabla1[Numero],""))) &gt; 0,
    TRUE,
    FALSE
),FALSE)</f>
        <v>0</v>
      </c>
      <c r="AD47" s="221">
        <v>36</v>
      </c>
      <c r="AE47" s="19"/>
      <c r="AF47" s="19"/>
      <c r="AG47" s="19"/>
      <c r="AH47" s="19"/>
      <c r="AI47" s="19"/>
      <c r="AJ47" s="19"/>
      <c r="AK47" s="19"/>
      <c r="AL47" s="19"/>
      <c r="AM47" s="23"/>
    </row>
    <row r="48" spans="1:39" ht="17.25" customHeight="1" x14ac:dyDescent="0.25">
      <c r="A48" s="17"/>
      <c r="B48" s="225">
        <v>37</v>
      </c>
      <c r="C48" s="137">
        <v>37</v>
      </c>
      <c r="D48" s="184" t="s">
        <v>68</v>
      </c>
      <c r="E48" s="66" t="s">
        <v>112</v>
      </c>
      <c r="F48" s="42" t="str">
        <f>_xlfn.XLOOKUP(Tabla1[[#This Row],[Estado]],Control!$C$32:$C$34,Control!$B$32:$B$34,"")</f>
        <v/>
      </c>
      <c r="G48" s="102"/>
      <c r="H48" s="146"/>
      <c r="I48" s="42" t="s">
        <v>16</v>
      </c>
      <c r="J48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8" s="42" t="s">
        <v>54</v>
      </c>
      <c r="L48" s="42">
        <v>3</v>
      </c>
      <c r="M48" s="137"/>
      <c r="N48" s="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O48" s="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8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8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U48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8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8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8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8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8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8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8" s="95" t="b">
        <f>ISNUMBER(SEARCH($H$4,Tabla1[[#This Row],[Materia]],1))</f>
        <v>1</v>
      </c>
      <c r="AC48" s="95" t="b">
        <f>IFERROR(IF(
    (COUNTIF(Tabla1[[#This Row],[R1]:[A8]], _xlfn.XLOOKUP($H$4,Tabla1[Materia],Tabla1[Numero],""))) &gt; 0,
    TRUE,
    FALSE
),FALSE)</f>
        <v>0</v>
      </c>
      <c r="AD48" s="221">
        <v>37</v>
      </c>
      <c r="AE48" s="19"/>
      <c r="AF48" s="19"/>
      <c r="AG48" s="19"/>
      <c r="AH48" s="19"/>
      <c r="AI48" s="19"/>
      <c r="AJ48" s="19"/>
      <c r="AK48" s="19"/>
      <c r="AL48" s="19"/>
      <c r="AM48" s="23"/>
    </row>
    <row r="49" spans="1:39" ht="17.25" customHeight="1" x14ac:dyDescent="0.25">
      <c r="A49" s="17"/>
      <c r="B49" s="225">
        <v>38</v>
      </c>
      <c r="C49" s="137">
        <v>38</v>
      </c>
      <c r="D49" s="184" t="s">
        <v>68</v>
      </c>
      <c r="E49" s="66" t="s">
        <v>23</v>
      </c>
      <c r="F49" s="42" t="str">
        <f>_xlfn.XLOOKUP(Tabla1[[#This Row],[Estado]],Control!$C$32:$C$34,Control!$B$32:$B$34,"")</f>
        <v/>
      </c>
      <c r="G49" s="102"/>
      <c r="H49" s="146"/>
      <c r="I49" s="42" t="s">
        <v>6</v>
      </c>
      <c r="J49" s="42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49" s="42" t="s">
        <v>54</v>
      </c>
      <c r="L49" s="42">
        <v>3</v>
      </c>
      <c r="M49" s="137"/>
      <c r="N49" s="74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49" s="7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7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7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9" s="7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49" s="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9" s="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9" s="7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9" s="7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9" s="7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9" s="7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9" s="7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9" s="95" t="b">
        <f>ISNUMBER(SEARCH($H$4,Tabla1[[#This Row],[Materia]],1))</f>
        <v>1</v>
      </c>
      <c r="AC49" s="95" t="b">
        <f>IFERROR(IF(
    (COUNTIF(Tabla1[[#This Row],[R1]:[A8]], _xlfn.XLOOKUP($H$4,Tabla1[Materia],Tabla1[Numero],""))) &gt; 0,
    TRUE,
    FALSE
),FALSE)</f>
        <v>0</v>
      </c>
      <c r="AD49" s="221">
        <v>38</v>
      </c>
      <c r="AE49" s="19"/>
      <c r="AF49" s="19"/>
      <c r="AG49" s="19"/>
      <c r="AH49" s="19"/>
      <c r="AI49" s="19"/>
      <c r="AJ49" s="19"/>
      <c r="AK49" s="19"/>
      <c r="AL49" s="19"/>
      <c r="AM49" s="23"/>
    </row>
    <row r="50" spans="1:39" ht="17.25" customHeight="1" thickBot="1" x14ac:dyDescent="0.3">
      <c r="A50" s="17"/>
      <c r="B50" s="226">
        <v>39</v>
      </c>
      <c r="C50" s="168">
        <v>39</v>
      </c>
      <c r="D50" s="185" t="s">
        <v>68</v>
      </c>
      <c r="E50" s="169" t="s">
        <v>24</v>
      </c>
      <c r="F50" s="167" t="str">
        <f>_xlfn.XLOOKUP(Tabla1[[#This Row],[Estado]],Control!$C$32:$C$34,Control!$B$32:$B$34,"")</f>
        <v/>
      </c>
      <c r="G50" s="170"/>
      <c r="H50" s="171"/>
      <c r="I50" s="167" t="s">
        <v>6</v>
      </c>
      <c r="J50" s="167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0" s="167" t="s">
        <v>54</v>
      </c>
      <c r="L50" s="167">
        <v>2</v>
      </c>
      <c r="M50" s="168"/>
      <c r="N50" s="17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50" s="1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0" s="1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0" s="1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1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0" s="1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0" s="1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U50" s="17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0" s="1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0" s="1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0" s="1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0" s="1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0" s="1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0" s="17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0" s="161" t="b">
        <f>ISNUMBER(SEARCH($H$4,Tabla1[[#This Row],[Materia]],1))</f>
        <v>1</v>
      </c>
      <c r="AC50" s="161" t="b">
        <f>IFERROR(IF(
    (COUNTIF(Tabla1[[#This Row],[R1]:[A8]], _xlfn.XLOOKUP($H$4,Tabla1[Materia],Tabla1[Numero],""))) &gt; 0,
    TRUE,
    FALSE
),FALSE)</f>
        <v>0</v>
      </c>
      <c r="AD50" s="221">
        <v>39</v>
      </c>
      <c r="AE50" s="19"/>
      <c r="AF50" s="19"/>
      <c r="AG50" s="19"/>
      <c r="AH50" s="19"/>
      <c r="AI50" s="19"/>
      <c r="AJ50" s="19"/>
      <c r="AK50" s="19"/>
      <c r="AL50" s="19"/>
      <c r="AM50" s="23"/>
    </row>
    <row r="51" spans="1:39" ht="17.25" customHeight="1" x14ac:dyDescent="0.25">
      <c r="A51" s="17"/>
      <c r="B51" s="227">
        <v>40</v>
      </c>
      <c r="C51" s="138">
        <v>40</v>
      </c>
      <c r="D51" s="186" t="s">
        <v>69</v>
      </c>
      <c r="E51" s="67" t="s">
        <v>113</v>
      </c>
      <c r="F51" s="18" t="str">
        <f>_xlfn.XLOOKUP(Tabla1[[#This Row],[Estado]],Control!$C$32:$C$34,Control!$B$32:$B$34,"")</f>
        <v/>
      </c>
      <c r="G51" s="103"/>
      <c r="H51" s="147"/>
      <c r="I51" s="18" t="s">
        <v>16</v>
      </c>
      <c r="J51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1" s="18" t="s">
        <v>54</v>
      </c>
      <c r="L51" s="18">
        <v>3</v>
      </c>
      <c r="M51" s="138"/>
      <c r="N51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1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35</v>
      </c>
      <c r="P51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1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27</v>
      </c>
      <c r="U51" s="8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29</v>
      </c>
      <c r="V51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1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1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1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1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1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1" s="95" t="b">
        <f>ISNUMBER(SEARCH($H$4,Tabla1[[#This Row],[Materia]],1))</f>
        <v>1</v>
      </c>
      <c r="AC51" s="95" t="b">
        <f>IFERROR(IF(
    (COUNTIF(Tabla1[[#This Row],[R1]:[A8]], _xlfn.XLOOKUP($H$4,Tabla1[Materia],Tabla1[Numero],""))) &gt; 0,
    TRUE,
    FALSE
),FALSE)</f>
        <v>0</v>
      </c>
      <c r="AD51" s="221">
        <v>40</v>
      </c>
      <c r="AE51" s="19"/>
      <c r="AF51" s="19"/>
      <c r="AG51" s="19"/>
      <c r="AH51" s="19"/>
      <c r="AI51" s="19"/>
      <c r="AJ51" s="19"/>
      <c r="AK51" s="19"/>
      <c r="AL51" s="19"/>
      <c r="AM51" s="23"/>
    </row>
    <row r="52" spans="1:39" ht="17.25" customHeight="1" x14ac:dyDescent="0.25">
      <c r="A52" s="17"/>
      <c r="B52" s="227">
        <v>41</v>
      </c>
      <c r="C52" s="138">
        <v>41</v>
      </c>
      <c r="D52" s="186" t="s">
        <v>69</v>
      </c>
      <c r="E52" s="67" t="s">
        <v>126</v>
      </c>
      <c r="F52" s="18" t="str">
        <f>_xlfn.XLOOKUP(Tabla1[[#This Row],[Estado]],Control!$C$32:$C$34,Control!$B$32:$B$34,"")</f>
        <v/>
      </c>
      <c r="G52" s="103"/>
      <c r="H52" s="147"/>
      <c r="I52" s="18" t="s">
        <v>17</v>
      </c>
      <c r="J52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2" s="18" t="s">
        <v>54</v>
      </c>
      <c r="L52" s="18">
        <v>3</v>
      </c>
      <c r="M52" s="138"/>
      <c r="N52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52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2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2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2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2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2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2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2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2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2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2" s="95" t="b">
        <f>ISNUMBER(SEARCH($H$4,Tabla1[[#This Row],[Materia]],1))</f>
        <v>1</v>
      </c>
      <c r="AC52" s="95" t="b">
        <f>IFERROR(IF(
    (COUNTIF(Tabla1[[#This Row],[R1]:[A8]], _xlfn.XLOOKUP($H$4,Tabla1[Materia],Tabla1[Numero],""))) &gt; 0,
    TRUE,
    FALSE
),FALSE)</f>
        <v>0</v>
      </c>
      <c r="AD52" s="221">
        <v>41</v>
      </c>
      <c r="AE52" s="19"/>
      <c r="AF52" s="19"/>
      <c r="AG52" s="19"/>
      <c r="AH52" s="19"/>
      <c r="AI52" s="19"/>
      <c r="AJ52" s="19"/>
      <c r="AK52" s="19"/>
      <c r="AL52" s="19"/>
      <c r="AM52" s="23"/>
    </row>
    <row r="53" spans="1:39" ht="17.25" customHeight="1" x14ac:dyDescent="0.25">
      <c r="A53" s="17"/>
      <c r="B53" s="227">
        <v>42</v>
      </c>
      <c r="C53" s="138">
        <v>42</v>
      </c>
      <c r="D53" s="186" t="s">
        <v>69</v>
      </c>
      <c r="E53" s="67" t="s">
        <v>127</v>
      </c>
      <c r="F53" s="18" t="str">
        <f>_xlfn.XLOOKUP(Tabla1[[#This Row],[Estado]],Control!$C$32:$C$34,Control!$B$32:$B$34,"")</f>
        <v/>
      </c>
      <c r="G53" s="103"/>
      <c r="H53" s="147"/>
      <c r="I53" s="18" t="s">
        <v>16</v>
      </c>
      <c r="J53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3" s="18" t="s">
        <v>54</v>
      </c>
      <c r="L53" s="18">
        <v>3</v>
      </c>
      <c r="M53" s="138"/>
      <c r="N53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3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P53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35</v>
      </c>
      <c r="Q53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3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3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3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3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3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3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3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3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3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3" s="95" t="b">
        <f>ISNUMBER(SEARCH($H$4,Tabla1[[#This Row],[Materia]],1))</f>
        <v>1</v>
      </c>
      <c r="AC53" s="95" t="b">
        <f>IFERROR(IF(
    (COUNTIF(Tabla1[[#This Row],[R1]:[A8]], _xlfn.XLOOKUP($H$4,Tabla1[Materia],Tabla1[Numero],""))) &gt; 0,
    TRUE,
    FALSE
),FALSE)</f>
        <v>0</v>
      </c>
      <c r="AD53" s="221">
        <v>42</v>
      </c>
      <c r="AE53" s="19"/>
      <c r="AF53" s="19"/>
      <c r="AG53" s="19"/>
      <c r="AH53" s="19"/>
      <c r="AI53" s="19"/>
      <c r="AJ53" s="19"/>
      <c r="AK53" s="19"/>
      <c r="AL53" s="19"/>
      <c r="AM53" s="23"/>
    </row>
    <row r="54" spans="1:39" ht="17.25" customHeight="1" x14ac:dyDescent="0.25">
      <c r="A54" s="17"/>
      <c r="B54" s="227">
        <v>43</v>
      </c>
      <c r="C54" s="138">
        <v>43</v>
      </c>
      <c r="D54" s="186" t="s">
        <v>69</v>
      </c>
      <c r="E54" s="67" t="s">
        <v>114</v>
      </c>
      <c r="F54" s="18" t="str">
        <f>_xlfn.XLOOKUP(Tabla1[[#This Row],[Estado]],Control!$C$32:$C$34,Control!$B$32:$B$34,"")</f>
        <v/>
      </c>
      <c r="G54" s="103"/>
      <c r="H54" s="147"/>
      <c r="I54" s="18" t="s">
        <v>6</v>
      </c>
      <c r="J54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4" s="18" t="s">
        <v>54</v>
      </c>
      <c r="L54" s="18">
        <v>3</v>
      </c>
      <c r="M54" s="138"/>
      <c r="N54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22</v>
      </c>
      <c r="O54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4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4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4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4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4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4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4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4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4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4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4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4" s="95" t="b">
        <f>ISNUMBER(SEARCH($H$4,Tabla1[[#This Row],[Materia]],1))</f>
        <v>1</v>
      </c>
      <c r="AC54" s="95" t="b">
        <f>IFERROR(IF(
    (COUNTIF(Tabla1[[#This Row],[R1]:[A8]], _xlfn.XLOOKUP($H$4,Tabla1[Materia],Tabla1[Numero],""))) &gt; 0,
    TRUE,
    FALSE
),FALSE)</f>
        <v>0</v>
      </c>
      <c r="AD54" s="221">
        <v>43</v>
      </c>
      <c r="AE54" s="19"/>
      <c r="AF54" s="19"/>
      <c r="AG54" s="19"/>
      <c r="AH54" s="19"/>
      <c r="AI54" s="19"/>
      <c r="AJ54" s="19"/>
      <c r="AK54" s="19"/>
      <c r="AL54" s="19"/>
      <c r="AM54" s="23"/>
    </row>
    <row r="55" spans="1:39" ht="17.25" customHeight="1" x14ac:dyDescent="0.25">
      <c r="A55" s="17"/>
      <c r="B55" s="227">
        <v>44</v>
      </c>
      <c r="C55" s="138">
        <v>44</v>
      </c>
      <c r="D55" s="186" t="s">
        <v>69</v>
      </c>
      <c r="E55" s="67" t="s">
        <v>115</v>
      </c>
      <c r="F55" s="18" t="str">
        <f>_xlfn.XLOOKUP(Tabla1[[#This Row],[Estado]],Control!$C$32:$C$34,Control!$B$32:$B$34,"")</f>
        <v/>
      </c>
      <c r="G55" s="103"/>
      <c r="H55" s="147"/>
      <c r="I55" s="18" t="s">
        <v>6</v>
      </c>
      <c r="J55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5" s="18" t="s">
        <v>54</v>
      </c>
      <c r="L55" s="18">
        <v>4</v>
      </c>
      <c r="M55" s="138"/>
      <c r="N55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O55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55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5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5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U55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5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5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5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5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5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5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5" s="95" t="b">
        <f>ISNUMBER(SEARCH($H$4,Tabla1[[#This Row],[Materia]],1))</f>
        <v>1</v>
      </c>
      <c r="AC55" s="95" t="b">
        <f>IFERROR(IF(
    (COUNTIF(Tabla1[[#This Row],[R1]:[A8]], _xlfn.XLOOKUP($H$4,Tabla1[Materia],Tabla1[Numero],""))) &gt; 0,
    TRUE,
    FALSE
),FALSE)</f>
        <v>0</v>
      </c>
      <c r="AD55" s="221">
        <v>44</v>
      </c>
      <c r="AE55" s="19"/>
      <c r="AF55" s="19"/>
      <c r="AG55" s="19"/>
      <c r="AH55" s="19"/>
      <c r="AI55" s="19"/>
      <c r="AJ55" s="19"/>
      <c r="AK55" s="19"/>
      <c r="AL55" s="19"/>
      <c r="AM55" s="23"/>
    </row>
    <row r="56" spans="1:39" ht="16.5" customHeight="1" x14ac:dyDescent="0.25">
      <c r="A56" s="17"/>
      <c r="B56" s="227">
        <v>45</v>
      </c>
      <c r="C56" s="138">
        <v>45</v>
      </c>
      <c r="D56" s="186" t="s">
        <v>69</v>
      </c>
      <c r="E56" s="67" t="s">
        <v>116</v>
      </c>
      <c r="F56" s="18" t="str">
        <f>_xlfn.XLOOKUP(Tabla1[[#This Row],[Estado]],Control!$C$32:$C$34,Control!$B$32:$B$34,"")</f>
        <v/>
      </c>
      <c r="G56" s="103"/>
      <c r="H56" s="147"/>
      <c r="I56" s="18" t="s">
        <v>17</v>
      </c>
      <c r="J56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6" s="18" t="s">
        <v>54</v>
      </c>
      <c r="L56" s="18">
        <v>3</v>
      </c>
      <c r="M56" s="138"/>
      <c r="N56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37</v>
      </c>
      <c r="O56" s="8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6" s="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6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6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6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21</v>
      </c>
      <c r="U56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6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6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6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6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6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6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6" s="95" t="b">
        <f>ISNUMBER(SEARCH($H$4,Tabla1[[#This Row],[Materia]],1))</f>
        <v>1</v>
      </c>
      <c r="AC56" s="95" t="b">
        <f>IFERROR(IF(
    (COUNTIF(Tabla1[[#This Row],[R1]:[A8]], _xlfn.XLOOKUP($H$4,Tabla1[Materia],Tabla1[Numero],""))) &gt; 0,
    TRUE,
    FALSE
),FALSE)</f>
        <v>0</v>
      </c>
      <c r="AD56" s="221">
        <v>45</v>
      </c>
      <c r="AE56" s="19"/>
      <c r="AF56" s="19"/>
      <c r="AG56" s="19"/>
      <c r="AH56" s="19"/>
      <c r="AI56" s="19"/>
      <c r="AJ56" s="19"/>
      <c r="AK56" s="19"/>
      <c r="AL56" s="19"/>
      <c r="AM56" s="23"/>
    </row>
    <row r="57" spans="1:39" ht="17.25" customHeight="1" x14ac:dyDescent="0.25">
      <c r="A57" s="17"/>
      <c r="B57" s="227">
        <v>46</v>
      </c>
      <c r="C57" s="138">
        <v>46</v>
      </c>
      <c r="D57" s="186" t="s">
        <v>69</v>
      </c>
      <c r="E57" s="67" t="s">
        <v>128</v>
      </c>
      <c r="F57" s="18" t="str">
        <f>_xlfn.XLOOKUP(Tabla1[[#This Row],[Estado]],Control!$C$32:$C$34,Control!$B$32:$B$34,"")</f>
        <v/>
      </c>
      <c r="G57" s="103"/>
      <c r="H57" s="147"/>
      <c r="I57" s="18" t="s">
        <v>17</v>
      </c>
      <c r="J57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7" s="18" t="s">
        <v>54</v>
      </c>
      <c r="L57" s="18">
        <v>3</v>
      </c>
      <c r="M57" s="138"/>
      <c r="N57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7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33</v>
      </c>
      <c r="P57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35</v>
      </c>
      <c r="Q57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7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29</v>
      </c>
      <c r="U57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7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7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7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7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7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7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7" s="95" t="b">
        <f>ISNUMBER(SEARCH($H$4,Tabla1[[#This Row],[Materia]],1))</f>
        <v>1</v>
      </c>
      <c r="AC57" s="95" t="b">
        <f>IFERROR(IF(
    (COUNTIF(Tabla1[[#This Row],[R1]:[A8]], _xlfn.XLOOKUP($H$4,Tabla1[Materia],Tabla1[Numero],""))) &gt; 0,
    TRUE,
    FALSE
),FALSE)</f>
        <v>0</v>
      </c>
      <c r="AD57" s="221">
        <v>46</v>
      </c>
      <c r="AE57" s="19"/>
      <c r="AF57" s="19"/>
      <c r="AG57" s="19"/>
      <c r="AH57" s="19"/>
      <c r="AI57" s="19"/>
      <c r="AJ57" s="19"/>
      <c r="AK57" s="19"/>
      <c r="AL57" s="19"/>
      <c r="AM57" s="23"/>
    </row>
    <row r="58" spans="1:39" ht="17.25" customHeight="1" x14ac:dyDescent="0.25">
      <c r="A58" s="17"/>
      <c r="B58" s="227">
        <v>47</v>
      </c>
      <c r="C58" s="138">
        <v>47</v>
      </c>
      <c r="D58" s="186" t="s">
        <v>69</v>
      </c>
      <c r="E58" s="67" t="s">
        <v>117</v>
      </c>
      <c r="F58" s="18" t="str">
        <f>_xlfn.XLOOKUP(Tabla1[[#This Row],[Estado]],Control!$C$32:$C$34,Control!$B$32:$B$34,"")</f>
        <v/>
      </c>
      <c r="G58" s="103"/>
      <c r="H58" s="147"/>
      <c r="I58" s="18" t="s">
        <v>16</v>
      </c>
      <c r="J58" s="1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8" s="18" t="s">
        <v>54</v>
      </c>
      <c r="L58" s="18">
        <v>3</v>
      </c>
      <c r="M58" s="138"/>
      <c r="N58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36</v>
      </c>
      <c r="O58" s="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38</v>
      </c>
      <c r="P58" s="8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39</v>
      </c>
      <c r="Q58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8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9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8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8" s="8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8" s="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8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8" s="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8" s="8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8" s="8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8" s="9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8" s="95" t="b">
        <f>ISNUMBER(SEARCH($H$4,Tabla1[[#This Row],[Materia]],1))</f>
        <v>1</v>
      </c>
      <c r="AC58" s="95" t="b">
        <f>IFERROR(IF(
    (COUNTIF(Tabla1[[#This Row],[R1]:[A8]], _xlfn.XLOOKUP($H$4,Tabla1[Materia],Tabla1[Numero],""))) &gt; 0,
    TRUE,
    FALSE
),FALSE)</f>
        <v>0</v>
      </c>
      <c r="AD58" s="221">
        <v>47</v>
      </c>
      <c r="AE58" s="19"/>
      <c r="AF58" s="19"/>
      <c r="AG58" s="19"/>
      <c r="AH58" s="19"/>
      <c r="AI58" s="26"/>
      <c r="AJ58" s="26"/>
      <c r="AK58" s="19"/>
      <c r="AL58" s="19"/>
      <c r="AM58" s="23"/>
    </row>
    <row r="59" spans="1:39" ht="17.25" customHeight="1" x14ac:dyDescent="0.25">
      <c r="A59" s="17"/>
      <c r="B59" s="228">
        <v>48</v>
      </c>
      <c r="C59" s="189">
        <v>48</v>
      </c>
      <c r="D59" s="190" t="s">
        <v>69</v>
      </c>
      <c r="E59" s="191" t="s">
        <v>2</v>
      </c>
      <c r="F59" s="188" t="str">
        <f>_xlfn.XLOOKUP(Tabla1[[#This Row],[Estado]],Control!$C$32:$C$34,Control!$B$32:$B$34,"")</f>
        <v/>
      </c>
      <c r="G59" s="192"/>
      <c r="H59" s="193"/>
      <c r="I59" s="188" t="s">
        <v>6</v>
      </c>
      <c r="J59" s="188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59" s="188" t="s">
        <v>54</v>
      </c>
      <c r="L59" s="188">
        <v>4</v>
      </c>
      <c r="M59" s="189"/>
      <c r="N59" s="194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59" s="19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9" s="19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9" s="19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9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19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9" s="19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25</v>
      </c>
      <c r="U59" s="19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29</v>
      </c>
      <c r="V59" s="19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9" s="19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9" s="19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9" s="19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9" s="19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9" s="19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9" s="96" t="b">
        <f>ISNUMBER(SEARCH($H$4,Tabla1[[#This Row],[Materia]],1))</f>
        <v>1</v>
      </c>
      <c r="AC59" s="96" t="b">
        <f>IFERROR(IF(
    (COUNTIF(Tabla1[[#This Row],[R1]:[A8]], _xlfn.XLOOKUP($H$4,Tabla1[Materia],Tabla1[Numero],""))) &gt; 0,
    TRUE,
    FALSE
),FALSE)</f>
        <v>0</v>
      </c>
      <c r="AD59" s="221">
        <v>48</v>
      </c>
      <c r="AE59" s="19"/>
      <c r="AF59" s="19"/>
      <c r="AG59" s="19"/>
      <c r="AH59" s="19"/>
      <c r="AI59" s="19"/>
      <c r="AJ59" s="19"/>
      <c r="AK59" s="19"/>
      <c r="AL59" s="19"/>
      <c r="AM59" s="23"/>
    </row>
    <row r="60" spans="1:39" ht="17.25" customHeight="1" x14ac:dyDescent="0.25">
      <c r="A60" s="17"/>
      <c r="B60" s="229" t="s">
        <v>26</v>
      </c>
      <c r="C60" s="139" t="s">
        <v>26</v>
      </c>
      <c r="D60" s="187" t="s">
        <v>69</v>
      </c>
      <c r="E60" s="68" t="s">
        <v>118</v>
      </c>
      <c r="F60" s="41" t="str">
        <f>_xlfn.XLOOKUP(Tabla1[[#This Row],[Estado]],Control!$C$32:$C$34,Control!$B$32:$B$34,"")</f>
        <v/>
      </c>
      <c r="G60" s="104"/>
      <c r="H60" s="148"/>
      <c r="I60" s="41" t="s">
        <v>6</v>
      </c>
      <c r="J60" s="4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0" s="41" t="s">
        <v>55</v>
      </c>
      <c r="L60" s="41">
        <v>7</v>
      </c>
      <c r="M60" s="139">
        <v>4</v>
      </c>
      <c r="N60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0" s="10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60" s="10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60" s="10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10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0" s="12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0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U60" s="10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26</v>
      </c>
      <c r="V60" s="10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0" s="10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0" s="10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0" s="2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0" s="20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0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0" s="95" t="b">
        <f>ISNUMBER(SEARCH($H$4,Tabla1[[#This Row],[Materia]],1))</f>
        <v>1</v>
      </c>
      <c r="AC60" s="95" t="b">
        <f>IFERROR(IF(
    (COUNTIF(Tabla1[[#This Row],[R1]:[A8]], _xlfn.XLOOKUP($H$4,Tabla1[Materia],Tabla1[Numero],""))) &gt; 0,
    TRUE,
    FALSE
),FALSE)</f>
        <v>0</v>
      </c>
      <c r="AD60" s="221">
        <v>49</v>
      </c>
      <c r="AE60" s="19"/>
      <c r="AF60" s="19"/>
      <c r="AG60" s="19"/>
      <c r="AH60" s="19"/>
      <c r="AI60" s="19"/>
      <c r="AJ60" s="19"/>
      <c r="AK60" s="19"/>
      <c r="AL60" s="19"/>
      <c r="AM60" s="23"/>
    </row>
    <row r="61" spans="1:39" ht="17.25" customHeight="1" thickBot="1" x14ac:dyDescent="0.3">
      <c r="A61" s="17"/>
      <c r="B61" s="229" t="s">
        <v>27</v>
      </c>
      <c r="C61" s="139" t="s">
        <v>27</v>
      </c>
      <c r="D61" s="187" t="s">
        <v>69</v>
      </c>
      <c r="E61" s="68" t="s">
        <v>119</v>
      </c>
      <c r="F61" s="41" t="str">
        <f>_xlfn.XLOOKUP(Tabla1[[#This Row],[Estado]],Control!$C$32:$C$34,Control!$B$32:$B$34,"")</f>
        <v/>
      </c>
      <c r="G61" s="104"/>
      <c r="H61" s="148"/>
      <c r="I61" s="41" t="s">
        <v>6</v>
      </c>
      <c r="J61" s="41" t="str">
        <f>IF(Tabla1[[#This Row],[Icono]]=2,
"-",
IF(_excepcion="SI",
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Row],[A8]],Tabla1[Numero],Tabla1[Icono],"")=2))),
"SI","NO")))</f>
        <v>NO</v>
      </c>
      <c r="K61" s="41" t="s">
        <v>55</v>
      </c>
      <c r="L61" s="41">
        <v>7</v>
      </c>
      <c r="M61" s="139">
        <v>4</v>
      </c>
      <c r="N61" s="23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36</v>
      </c>
      <c r="O61" s="20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38</v>
      </c>
      <c r="P61" s="20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39</v>
      </c>
      <c r="Q61" s="20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20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1" s="9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1" s="23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1" s="20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61" s="20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1" s="20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1" s="20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1" s="2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1" s="20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1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1" s="161" t="b">
        <f>ISNUMBER(SEARCH($H$4,Tabla1[[#This Row],[Materia]],1))</f>
        <v>1</v>
      </c>
      <c r="AC61" s="161" t="b">
        <f>IFERROR(IF(
    (COUNTIF(Tabla1[[#This Row],[R1]:[A8]], _xlfn.XLOOKUP($H$4,Tabla1[Materia],Tabla1[Numero],""))) &gt; 0,
    TRUE,
    FALSE
),FALSE)</f>
        <v>0</v>
      </c>
      <c r="AD61" s="221">
        <v>50</v>
      </c>
      <c r="AE61" s="19"/>
      <c r="AF61" s="19"/>
      <c r="AG61" s="19"/>
      <c r="AH61" s="19"/>
      <c r="AI61" s="19"/>
      <c r="AJ61" s="19"/>
      <c r="AK61" s="19"/>
      <c r="AL61" s="19"/>
      <c r="AM61" s="23"/>
    </row>
    <row r="62" spans="1:39" ht="17.25" customHeight="1" x14ac:dyDescent="0.25">
      <c r="A62" s="17"/>
      <c r="B62" s="230"/>
      <c r="C62" s="230"/>
      <c r="D62" s="230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0"/>
      <c r="T62" s="230"/>
      <c r="U62" s="230"/>
      <c r="V62" s="230"/>
      <c r="W62" s="230"/>
      <c r="X62" s="230"/>
      <c r="Y62" s="230"/>
      <c r="Z62" s="230"/>
      <c r="AA62" s="230"/>
      <c r="AB62" s="19"/>
      <c r="AC62" s="19"/>
      <c r="AD62" s="19"/>
      <c r="AE62" s="19"/>
      <c r="AF62" s="19"/>
      <c r="AG62" s="19"/>
      <c r="AH62" s="19"/>
      <c r="AI62" s="19"/>
      <c r="AJ62" s="23"/>
    </row>
    <row r="63" spans="1:39" x14ac:dyDescent="0.25">
      <c r="A63" s="17"/>
      <c r="AB63" s="26"/>
      <c r="AC63" s="26"/>
      <c r="AF63" s="23"/>
    </row>
    <row r="64" spans="1:39" x14ac:dyDescent="0.25">
      <c r="A64" s="25"/>
      <c r="G64" s="10"/>
      <c r="AF64" s="27"/>
    </row>
    <row r="65" spans="7:7" ht="56.25" customHeight="1" x14ac:dyDescent="0.25"/>
    <row r="66" spans="7:7" x14ac:dyDescent="0.25"/>
    <row r="67" spans="7:7" x14ac:dyDescent="0.25">
      <c r="G67" s="10"/>
    </row>
    <row r="68" spans="7:7" x14ac:dyDescent="0.25">
      <c r="G68" s="10"/>
    </row>
    <row r="69" spans="7:7" x14ac:dyDescent="0.25"/>
    <row r="70" spans="7:7" x14ac:dyDescent="0.25"/>
    <row r="71" spans="7:7" x14ac:dyDescent="0.25"/>
    <row r="72" spans="7:7" x14ac:dyDescent="0.25"/>
    <row r="73" spans="7:7" x14ac:dyDescent="0.25"/>
    <row r="74" spans="7:7" x14ac:dyDescent="0.25"/>
    <row r="75" spans="7:7" x14ac:dyDescent="0.25"/>
    <row r="76" spans="7:7" x14ac:dyDescent="0.25"/>
    <row r="77" spans="7:7" x14ac:dyDescent="0.25"/>
    <row r="78" spans="7:7" x14ac:dyDescent="0.25"/>
    <row r="82" spans="4:4" hidden="1" x14ac:dyDescent="0.25">
      <c r="D82" s="19"/>
    </row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/>
    <row r="91" spans="4:4" ht="14.25" hidden="1" customHeight="1" x14ac:dyDescent="0.25"/>
    <row r="92" spans="4:4" ht="14.25" hidden="1" customHeight="1" x14ac:dyDescent="0.25"/>
    <row r="93" spans="4:4" ht="14.25" hidden="1" customHeight="1" x14ac:dyDescent="0.25"/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Y4Vf0Ydpj9R129GG4/Lklsuytg26idZXHsaNhxjFglN1zIyjUdQTOfe/vkbyYuOejVST2QdXPbVBhzxaqbDC2Q==" saltValue="BLIe3IsHEEyLC9UzYzO7pg==" spinCount="100000" sheet="1" sort="0" autoFilter="0"/>
  <dataConsolidate/>
  <mergeCells count="12">
    <mergeCell ref="N10:S10"/>
    <mergeCell ref="T10:AA10"/>
    <mergeCell ref="H4:L4"/>
    <mergeCell ref="B2:X2"/>
    <mergeCell ref="N4:P4"/>
    <mergeCell ref="H9:I9"/>
    <mergeCell ref="J8:L8"/>
    <mergeCell ref="H8:I8"/>
    <mergeCell ref="J9:L9"/>
    <mergeCell ref="G7:L7"/>
    <mergeCell ref="Q4:S4"/>
    <mergeCell ref="N9:AA9"/>
  </mergeCells>
  <phoneticPr fontId="8" type="noConversion"/>
  <conditionalFormatting sqref="F12:F61">
    <cfRule type="iconSet" priority="574">
      <iconSet iconSet="3Symbols2" showValue="0">
        <cfvo type="percent" val="0"/>
        <cfvo type="num" val="1"/>
        <cfvo type="num" val="2"/>
      </iconSet>
    </cfRule>
  </conditionalFormatting>
  <conditionalFormatting sqref="N12:S61">
    <cfRule type="expression" dxfId="8" priority="576">
      <formula>OR(_xlfn.XLOOKUP(N12,$B$12:$B$61,$F$12:$F$61)="",_xlfn.XLOOKUP(N12,$B$12:$B$61,$F$12:$F$61)&lt;1)</formula>
    </cfRule>
    <cfRule type="expression" dxfId="7" priority="577">
      <formula>LOOKUP(N12,$B$12:$B$61,$F$12:$F$61)&gt;=1</formula>
    </cfRule>
  </conditionalFormatting>
  <conditionalFormatting sqref="T12:AA61">
    <cfRule type="expression" dxfId="6" priority="580">
      <formula>OR(_xlfn.XLOOKUP(T12,$B$12:$B$61,$F$12:$F$61)="",_xlfn.XLOOKUP(T12,$B$12:$B$61,$F$12:$F$61)&lt;2)</formula>
    </cfRule>
    <cfRule type="expression" dxfId="5" priority="581">
      <formula>LOOKUP(T12,$B$12:$B$61,$F$12:$F$61)=2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showInputMessage="1" sqref="H4:L4" xr:uid="{0B649C6A-C95B-4C86-A93B-6D5F9D856CD0}"/>
    <dataValidation type="whole" allowBlank="1" showInputMessage="1" showErrorMessage="1" sqref="M12:M61" xr:uid="{E9B0B4FB-B73B-4CB8-BF41-0004A1370D40}">
      <formula1>1</formula1>
      <formula2>100</formula2>
    </dataValidation>
    <dataValidation type="list" allowBlank="1" showInputMessage="1" showErrorMessage="1" sqref="I12:I61" xr:uid="{F10643AC-3B76-41B4-845C-58D937C62153}">
      <formula1>Modalidades</formula1>
    </dataValidation>
    <dataValidation type="whole" allowBlank="1" showInputMessage="1" showErrorMessage="1" sqref="H12:H61" xr:uid="{827AE982-E557-487E-BEA0-3F118EE1CC68}">
      <formula1>1</formula1>
      <formula2>10</formula2>
    </dataValidation>
    <dataValidation type="list" allowBlank="1" showInputMessage="1" sqref="BL9:BL10 BO11:BO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269" r:id="rId4" name="CommandButton1">
          <controlPr defaultSize="0" autoFill="0" autoLine="0" r:id="rId5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4" name="CommandButton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142875</xdr:colOff>
                <xdr:row>2</xdr:row>
                <xdr:rowOff>180975</xdr:rowOff>
              </from>
              <to>
                <xdr:col>12</xdr:col>
                <xdr:colOff>276225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1876" r:id="rId8" name="TextBox1">
          <controlPr locked="0" defaultSize="0" autoLine="0" r:id="rId9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8" name="TextBox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5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B12:AA40</xm:sqref>
        </x14:conditionalFormatting>
        <x14:conditionalFormatting xmlns:xm="http://schemas.microsoft.com/office/excel/2006/main">
          <x14:cfRule type="expression" priority="439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B12:AA59</xm:sqref>
        </x14:conditionalFormatting>
        <x14:conditionalFormatting xmlns:xm="http://schemas.microsoft.com/office/excel/2006/main">
          <x14:cfRule type="expression" priority="658" id="{00000000-000E-0000-0000-0000BC000000}">
            <xm:f>OR( $N12=Control!$N$7, $O12=Control!$N$7, $P12=Control!$N$7, $Q12=Control!$N$7, $R12=Control!$N$7, $S12=Control!$N$7, $T12=Control!$N$7, $U12=Control!$N$7, $V12=Control!$N$7, $W12=Control!$N$7, $X12=Control!$N$7, $Y12=Control!$N$7, $Z12=Control!$N$7, $AA12=Control!$N$7 )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659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660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B12:AA61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G15:G61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K12:K61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  <x14:dataValidation type="list" allowBlank="1" showInputMessage="1" showErrorMessage="1" xr:uid="{7E83949C-A2E5-4647-BD93-0E45A69C23B2}">
          <x14:formula1>
            <xm:f>Control!$E$42:$E$46</xm:f>
          </x14:formula1>
          <xm:sqref>D12:D61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BQ224"/>
  <sheetViews>
    <sheetView showGridLines="0" zoomScale="85" zoomScaleNormal="85" workbookViewId="0">
      <selection activeCell="M31" sqref="M31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29.42578125" customWidth="1"/>
    <col min="14" max="24" width="5.140625" customWidth="1"/>
    <col min="25" max="25" width="5.140625" style="16" customWidth="1"/>
    <col min="26" max="26" width="5.140625" customWidth="1"/>
    <col min="27" max="27" width="5.28515625" customWidth="1"/>
    <col min="28" max="28" width="9.5703125" customWidth="1"/>
    <col min="29" max="41" width="5.28515625" customWidth="1"/>
    <col min="42" max="43" width="5.42578125" customWidth="1"/>
    <col min="44" max="46" width="6.7109375" customWidth="1"/>
  </cols>
  <sheetData>
    <row r="1" spans="2:25" ht="8.25" customHeight="1" x14ac:dyDescent="0.25"/>
    <row r="2" spans="2:25" ht="14.1" customHeight="1" x14ac:dyDescent="0.25">
      <c r="B2" s="267" t="s">
        <v>48</v>
      </c>
      <c r="C2" s="267"/>
      <c r="D2" s="267"/>
      <c r="E2" s="267"/>
      <c r="G2" s="273" t="s">
        <v>35</v>
      </c>
      <c r="H2" s="273"/>
      <c r="I2" s="273"/>
      <c r="J2" s="273"/>
      <c r="M2" s="199" t="s">
        <v>32</v>
      </c>
      <c r="N2" s="28" t="b">
        <v>0</v>
      </c>
      <c r="P2" s="40" t="s">
        <v>58</v>
      </c>
    </row>
    <row r="3" spans="2:25" ht="14.1" customHeight="1" x14ac:dyDescent="0.25">
      <c r="B3" s="267"/>
      <c r="C3" s="267"/>
      <c r="D3" s="267"/>
      <c r="E3" s="267"/>
      <c r="G3" s="273"/>
      <c r="H3" s="273"/>
      <c r="I3" s="273"/>
      <c r="J3" s="273"/>
      <c r="M3" s="199" t="s">
        <v>33</v>
      </c>
      <c r="N3" s="28" t="b">
        <v>0</v>
      </c>
      <c r="P3" s="39" t="s">
        <v>54</v>
      </c>
    </row>
    <row r="4" spans="2:25" ht="14.1" customHeight="1" x14ac:dyDescent="0.25">
      <c r="B4" s="267"/>
      <c r="C4" s="267"/>
      <c r="D4" s="267"/>
      <c r="E4" s="267"/>
      <c r="G4" s="273"/>
      <c r="H4" s="273"/>
      <c r="I4" s="273"/>
      <c r="J4" s="273"/>
      <c r="M4" s="199" t="s">
        <v>34</v>
      </c>
      <c r="N4" s="28" t="b">
        <v>0</v>
      </c>
      <c r="P4" s="39" t="s">
        <v>55</v>
      </c>
    </row>
    <row r="5" spans="2:25" ht="6" customHeight="1" thickBot="1" x14ac:dyDescent="0.3">
      <c r="M5" s="199"/>
      <c r="N5" s="29"/>
    </row>
    <row r="6" spans="2:25" ht="15.95" customHeight="1" thickBot="1" x14ac:dyDescent="0.3">
      <c r="B6" s="79"/>
      <c r="C6" s="32" t="s">
        <v>47</v>
      </c>
      <c r="D6" s="32">
        <f>COUNTA(Tabla1[Numero])</f>
        <v>50</v>
      </c>
      <c r="E6" s="33">
        <v>1</v>
      </c>
      <c r="G6" s="262" t="s">
        <v>121</v>
      </c>
      <c r="H6" s="263"/>
      <c r="I6" s="276">
        <f>SUMIFS(Tabla1[Puntos], Tabla1[Electiva],"SI", Tabla1[Icono],"=2")</f>
        <v>0</v>
      </c>
      <c r="J6" s="277"/>
      <c r="M6" s="199" t="s">
        <v>71</v>
      </c>
      <c r="N6" s="87">
        <v>0</v>
      </c>
    </row>
    <row r="7" spans="2:25" s="79" customFormat="1" ht="15" customHeight="1" thickBot="1" x14ac:dyDescent="0.3">
      <c r="B7" s="81">
        <v>0</v>
      </c>
      <c r="C7" s="82" t="s">
        <v>53</v>
      </c>
      <c r="D7" s="82">
        <f>D6-(D8+D9)</f>
        <v>50</v>
      </c>
      <c r="E7" s="83">
        <f>D7/$D$6</f>
        <v>1</v>
      </c>
      <c r="G7" s="258"/>
      <c r="H7" s="259"/>
      <c r="I7" s="290"/>
      <c r="J7" s="291"/>
      <c r="M7" s="199" t="s">
        <v>70</v>
      </c>
      <c r="N7" s="29">
        <v>0</v>
      </c>
      <c r="Y7" s="86"/>
    </row>
    <row r="8" spans="2:25" s="79" customFormat="1" ht="15" customHeight="1" thickBot="1" x14ac:dyDescent="0.3">
      <c r="B8" s="81">
        <v>1</v>
      </c>
      <c r="C8" s="82" t="s">
        <v>14</v>
      </c>
      <c r="D8" s="82">
        <f>COUNTIF(Tabla1[Icono],1)</f>
        <v>0</v>
      </c>
      <c r="E8" s="83">
        <f>D8/$D$6</f>
        <v>0</v>
      </c>
      <c r="G8" s="258"/>
      <c r="H8" s="259"/>
      <c r="I8" s="290"/>
      <c r="J8" s="291"/>
      <c r="M8" s="200" t="s">
        <v>52</v>
      </c>
      <c r="N8" s="29" t="b">
        <f>FALSE</f>
        <v>0</v>
      </c>
      <c r="Y8" s="86"/>
    </row>
    <row r="9" spans="2:25" s="79" customFormat="1" ht="15" customHeight="1" thickBot="1" x14ac:dyDescent="0.3">
      <c r="B9" s="81">
        <v>2</v>
      </c>
      <c r="C9" s="82" t="s">
        <v>13</v>
      </c>
      <c r="D9" s="82">
        <f>COUNTIF(Tabla1[Icono],2)</f>
        <v>0</v>
      </c>
      <c r="E9" s="83">
        <f>D9/$D$6</f>
        <v>0</v>
      </c>
      <c r="G9" s="260"/>
      <c r="H9" s="261"/>
      <c r="I9" s="274"/>
      <c r="J9" s="275"/>
      <c r="Y9" s="86"/>
    </row>
    <row r="10" spans="2:25" ht="6.95" customHeight="1" x14ac:dyDescent="0.25"/>
    <row r="11" spans="2:25" ht="14.1" customHeight="1" x14ac:dyDescent="0.25">
      <c r="B11" s="266" t="s">
        <v>84</v>
      </c>
      <c r="C11" s="266"/>
      <c r="D11" s="266"/>
      <c r="E11" s="266"/>
      <c r="G11" s="271" t="s">
        <v>45</v>
      </c>
      <c r="H11" s="271"/>
      <c r="I11" s="271"/>
      <c r="J11" s="271"/>
    </row>
    <row r="12" spans="2:25" ht="14.1" customHeight="1" x14ac:dyDescent="0.25">
      <c r="B12" s="266"/>
      <c r="C12" s="266"/>
      <c r="D12" s="266"/>
      <c r="E12" s="266"/>
      <c r="G12" s="271"/>
      <c r="H12" s="271"/>
      <c r="I12" s="271"/>
      <c r="J12" s="271"/>
    </row>
    <row r="13" spans="2:25" ht="14.1" customHeight="1" x14ac:dyDescent="0.25">
      <c r="B13" s="266"/>
      <c r="C13" s="266"/>
      <c r="D13" s="266"/>
      <c r="E13" s="266"/>
      <c r="G13" s="271"/>
      <c r="H13" s="271"/>
      <c r="I13" s="271"/>
      <c r="J13" s="271"/>
    </row>
    <row r="14" spans="2:25" ht="6.95" customHeight="1" x14ac:dyDescent="0.25">
      <c r="B14" s="8"/>
      <c r="C14" s="8"/>
      <c r="D14" s="8"/>
      <c r="E14" s="8"/>
    </row>
    <row r="15" spans="2:25" ht="12" customHeight="1" x14ac:dyDescent="0.25">
      <c r="D15" s="269">
        <f>COUNTIF('Plan de Estudio'!F12:F40,"&lt;&gt;2")</f>
        <v>29</v>
      </c>
      <c r="E15" s="269"/>
      <c r="I15" s="268">
        <f>COUNTIFS(Tabla1[Electiva],"NO",Tabla1[Icono],"&lt;&gt;2")</f>
        <v>48</v>
      </c>
      <c r="J15" s="268"/>
    </row>
    <row r="16" spans="2:25" ht="12" customHeight="1" x14ac:dyDescent="0.25">
      <c r="D16" s="269"/>
      <c r="E16" s="269"/>
      <c r="I16" s="268"/>
      <c r="J16" s="268"/>
      <c r="M16" s="60"/>
    </row>
    <row r="17" spans="2:25" ht="6.95" customHeight="1" x14ac:dyDescent="0.25">
      <c r="M17" s="60"/>
    </row>
    <row r="18" spans="2:25" s="31" customFormat="1" ht="15.95" customHeight="1" x14ac:dyDescent="0.25">
      <c r="C18" s="32" t="s">
        <v>47</v>
      </c>
      <c r="D18" s="32">
        <f>COUNTA('Plan de Estudio'!$B$12:$B$40)</f>
        <v>29</v>
      </c>
      <c r="E18" s="33">
        <v>1</v>
      </c>
      <c r="H18" s="32" t="s">
        <v>47</v>
      </c>
      <c r="I18" s="34">
        <f>COUNTIF(Tabla1[Electiva],"NO")</f>
        <v>48</v>
      </c>
      <c r="J18" s="33">
        <v>1</v>
      </c>
      <c r="M18" s="60"/>
    </row>
    <row r="19" spans="2:25" s="79" customFormat="1" ht="15" customHeight="1" x14ac:dyDescent="0.25">
      <c r="B19" s="81">
        <v>0</v>
      </c>
      <c r="C19" s="82" t="s">
        <v>53</v>
      </c>
      <c r="D19" s="82">
        <f>D18-(D21+D20)</f>
        <v>29</v>
      </c>
      <c r="E19" s="83">
        <f>D19/D18</f>
        <v>1</v>
      </c>
      <c r="G19" s="77">
        <v>0</v>
      </c>
      <c r="H19" s="82" t="s">
        <v>53</v>
      </c>
      <c r="I19" s="30">
        <f>I18-(I20+I21)</f>
        <v>48</v>
      </c>
      <c r="J19" s="83">
        <f>I19/$I$18</f>
        <v>1</v>
      </c>
      <c r="M19" s="97"/>
      <c r="Y19" s="86"/>
    </row>
    <row r="20" spans="2:25" s="79" customFormat="1" ht="15" customHeight="1" x14ac:dyDescent="0.25">
      <c r="B20" s="81">
        <v>1</v>
      </c>
      <c r="C20" s="82" t="s">
        <v>14</v>
      </c>
      <c r="D20" s="82">
        <f>COUNTIF('Plan de Estudio'!F12:F40,1)</f>
        <v>0</v>
      </c>
      <c r="E20" s="83">
        <f>D20/$D$18</f>
        <v>0</v>
      </c>
      <c r="G20" s="77">
        <v>1</v>
      </c>
      <c r="H20" s="82" t="s">
        <v>14</v>
      </c>
      <c r="I20" s="30">
        <f>COUNTIFS(Tabla1[Electiva],"NO",Tabla1[Icono],1)</f>
        <v>0</v>
      </c>
      <c r="J20" s="83">
        <f>I20/$I$18</f>
        <v>0</v>
      </c>
      <c r="M20" s="97"/>
      <c r="Y20" s="86"/>
    </row>
    <row r="21" spans="2:25" s="79" customFormat="1" ht="15" customHeight="1" x14ac:dyDescent="0.25">
      <c r="B21" s="81">
        <v>2</v>
      </c>
      <c r="C21" s="82" t="s">
        <v>13</v>
      </c>
      <c r="D21" s="82">
        <f>COUNTIF('Plan de Estudio'!$F$12:$F$40,2)</f>
        <v>0</v>
      </c>
      <c r="E21" s="83">
        <f>D21/$D$18</f>
        <v>0</v>
      </c>
      <c r="G21" s="77">
        <v>2</v>
      </c>
      <c r="H21" s="82" t="s">
        <v>13</v>
      </c>
      <c r="I21" s="30">
        <f>COUNTIFS(Tabla1[Electiva],"NO",Tabla1[Icono],2)</f>
        <v>0</v>
      </c>
      <c r="J21" s="83">
        <f>I21/$I$18</f>
        <v>0</v>
      </c>
      <c r="M21" s="97"/>
      <c r="Y21" s="86"/>
    </row>
    <row r="22" spans="2:25" ht="6.95" customHeight="1" thickBot="1" x14ac:dyDescent="0.3">
      <c r="M22" s="60"/>
    </row>
    <row r="23" spans="2:25" ht="14.1" customHeight="1" x14ac:dyDescent="0.25">
      <c r="B23" s="272" t="s">
        <v>46</v>
      </c>
      <c r="C23" s="272"/>
      <c r="D23" s="272"/>
      <c r="E23" s="272"/>
      <c r="G23" s="278" t="s">
        <v>29</v>
      </c>
      <c r="H23" s="279"/>
      <c r="I23" s="284">
        <f>IF(ISNUMBER(AVERAGE(Tabla1[Nota])), AVERAGE(Tabla1[Nota]), 0)</f>
        <v>0</v>
      </c>
      <c r="J23" s="285"/>
      <c r="M23" s="60"/>
    </row>
    <row r="24" spans="2:25" ht="14.1" customHeight="1" x14ac:dyDescent="0.25">
      <c r="B24" s="272"/>
      <c r="C24" s="272"/>
      <c r="D24" s="272"/>
      <c r="E24" s="272"/>
      <c r="G24" s="280"/>
      <c r="H24" s="281"/>
      <c r="I24" s="286"/>
      <c r="J24" s="287"/>
      <c r="M24" s="60"/>
    </row>
    <row r="25" spans="2:25" ht="14.1" customHeight="1" thickBot="1" x14ac:dyDescent="0.3">
      <c r="B25" s="272"/>
      <c r="C25" s="272"/>
      <c r="D25" s="272"/>
      <c r="E25" s="272"/>
      <c r="G25" s="282"/>
      <c r="H25" s="283"/>
      <c r="I25" s="288"/>
      <c r="J25" s="289"/>
      <c r="M25" s="60"/>
    </row>
    <row r="26" spans="2:25" ht="6.95" customHeight="1" x14ac:dyDescent="0.25">
      <c r="M26" s="60"/>
    </row>
    <row r="27" spans="2:25" ht="12" customHeight="1" x14ac:dyDescent="0.25">
      <c r="D27" s="270">
        <f>COUNTIF(Tabla1[Cursar],"SI")</f>
        <v>9</v>
      </c>
      <c r="E27" s="270"/>
      <c r="M27" s="60"/>
    </row>
    <row r="28" spans="2:25" ht="12" customHeight="1" x14ac:dyDescent="0.35">
      <c r="D28" s="270"/>
      <c r="E28" s="270"/>
      <c r="F28" s="12"/>
      <c r="M28" s="60"/>
    </row>
    <row r="29" spans="2:25" ht="15" customHeight="1" thickBot="1" x14ac:dyDescent="0.3">
      <c r="F29" s="9"/>
      <c r="M29" s="60"/>
      <c r="Y29"/>
    </row>
    <row r="30" spans="2:25" ht="19.5" thickBot="1" x14ac:dyDescent="0.3">
      <c r="B30" s="264" t="s">
        <v>7</v>
      </c>
      <c r="C30" s="265"/>
      <c r="D30" s="7"/>
      <c r="E30" s="7"/>
      <c r="F30" s="7"/>
      <c r="G30" s="7"/>
      <c r="H30" s="61"/>
      <c r="M30" s="60"/>
      <c r="Y30"/>
    </row>
    <row r="31" spans="2:25" ht="15.75" x14ac:dyDescent="0.25">
      <c r="B31" s="2"/>
      <c r="C31" s="19"/>
      <c r="D31" s="19"/>
      <c r="E31" s="35" t="s">
        <v>6</v>
      </c>
      <c r="F31" s="19" t="s">
        <v>10</v>
      </c>
      <c r="G31" s="19"/>
      <c r="H31" s="3"/>
      <c r="M31" s="60"/>
      <c r="Y31"/>
    </row>
    <row r="32" spans="2:25" ht="15.75" x14ac:dyDescent="0.25">
      <c r="B32" s="38">
        <v>0</v>
      </c>
      <c r="C32" s="37" t="s">
        <v>81</v>
      </c>
      <c r="D32" s="19"/>
      <c r="E32" s="35" t="s">
        <v>16</v>
      </c>
      <c r="F32" s="19" t="s">
        <v>11</v>
      </c>
      <c r="G32" s="19"/>
      <c r="H32" s="3"/>
      <c r="I32" s="19"/>
      <c r="M32" s="60"/>
      <c r="Y32"/>
    </row>
    <row r="33" spans="2:25" ht="15.75" x14ac:dyDescent="0.25">
      <c r="B33" s="38">
        <v>1</v>
      </c>
      <c r="C33" s="37" t="s">
        <v>4</v>
      </c>
      <c r="D33" s="19"/>
      <c r="E33" s="35" t="s">
        <v>17</v>
      </c>
      <c r="F33" s="19" t="s">
        <v>12</v>
      </c>
      <c r="G33" s="19"/>
      <c r="H33" s="3"/>
      <c r="I33" s="19"/>
      <c r="M33" s="60"/>
      <c r="Y33"/>
    </row>
    <row r="34" spans="2:25" ht="15.75" x14ac:dyDescent="0.25">
      <c r="B34" s="38">
        <v>2</v>
      </c>
      <c r="C34" s="37" t="s">
        <v>15</v>
      </c>
      <c r="D34" s="19"/>
      <c r="E34" s="35" t="s">
        <v>8</v>
      </c>
      <c r="F34" s="19" t="s">
        <v>9</v>
      </c>
      <c r="G34" s="19"/>
      <c r="H34" s="3"/>
      <c r="I34" s="19"/>
      <c r="M34" s="60"/>
      <c r="X34" s="16"/>
      <c r="Y34"/>
    </row>
    <row r="35" spans="2:25" ht="15.75" thickBot="1" x14ac:dyDescent="0.3">
      <c r="B35" s="36"/>
      <c r="C35" s="4"/>
      <c r="D35" s="4"/>
      <c r="E35" s="4"/>
      <c r="F35" s="4"/>
      <c r="G35" s="4"/>
      <c r="H35" s="5"/>
      <c r="I35" s="19"/>
      <c r="M35" s="60"/>
      <c r="X35" s="16"/>
      <c r="Y35"/>
    </row>
    <row r="36" spans="2:25" ht="6.95" customHeight="1" x14ac:dyDescent="0.25">
      <c r="I36" s="19"/>
      <c r="M36" s="60"/>
      <c r="X36" s="16"/>
      <c r="Y36"/>
    </row>
    <row r="37" spans="2:25" ht="15" customHeight="1" x14ac:dyDescent="0.25">
      <c r="I37" s="19"/>
      <c r="M37" s="60"/>
      <c r="X37" s="16"/>
      <c r="Y37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60"/>
      <c r="X38" s="16"/>
      <c r="Y38"/>
    </row>
    <row r="39" spans="2:25" x14ac:dyDescent="0.25">
      <c r="M39" s="60"/>
      <c r="X39" s="16"/>
      <c r="Y39"/>
    </row>
    <row r="40" spans="2:25" x14ac:dyDescent="0.25">
      <c r="M40" s="60"/>
      <c r="X40" s="16"/>
      <c r="Y40"/>
    </row>
    <row r="41" spans="2:25" x14ac:dyDescent="0.25">
      <c r="B41" s="10"/>
      <c r="C41" t="s">
        <v>21</v>
      </c>
      <c r="E41" s="6" t="s">
        <v>50</v>
      </c>
      <c r="G41" s="52" t="s">
        <v>76</v>
      </c>
      <c r="M41" s="60"/>
      <c r="X41" s="16"/>
      <c r="Y41"/>
    </row>
    <row r="42" spans="2:25" ht="15.75" x14ac:dyDescent="0.25">
      <c r="C42" s="1" t="s">
        <v>6</v>
      </c>
      <c r="E42" s="47" t="s">
        <v>65</v>
      </c>
      <c r="G42" s="52" t="s">
        <v>77</v>
      </c>
      <c r="M42" s="60"/>
      <c r="X42" s="16"/>
      <c r="Y42"/>
    </row>
    <row r="43" spans="2:25" ht="15.75" x14ac:dyDescent="0.25">
      <c r="C43" s="1" t="s">
        <v>16</v>
      </c>
      <c r="E43" s="47" t="s">
        <v>66</v>
      </c>
      <c r="G43" s="52" t="s">
        <v>78</v>
      </c>
      <c r="M43" s="60"/>
      <c r="X43" s="16"/>
      <c r="Y43"/>
    </row>
    <row r="44" spans="2:25" ht="15.75" x14ac:dyDescent="0.25">
      <c r="C44" s="1" t="s">
        <v>17</v>
      </c>
      <c r="E44" s="47" t="s">
        <v>67</v>
      </c>
      <c r="M44" s="60"/>
      <c r="X44" s="16"/>
      <c r="Y44"/>
    </row>
    <row r="45" spans="2:25" ht="15.75" x14ac:dyDescent="0.25">
      <c r="C45" s="1" t="s">
        <v>8</v>
      </c>
      <c r="E45" s="47" t="s">
        <v>68</v>
      </c>
      <c r="M45" s="60"/>
      <c r="X45" s="16"/>
      <c r="Y45"/>
    </row>
    <row r="46" spans="2:25" ht="15.75" x14ac:dyDescent="0.25">
      <c r="C46" s="1" t="s">
        <v>19</v>
      </c>
      <c r="E46" s="47" t="s">
        <v>69</v>
      </c>
      <c r="M46" s="60"/>
      <c r="X46" s="16"/>
      <c r="Y46"/>
    </row>
    <row r="47" spans="2:25" ht="15.75" x14ac:dyDescent="0.25">
      <c r="C47" s="1" t="s">
        <v>18</v>
      </c>
      <c r="F47" s="15"/>
      <c r="G47" s="15"/>
      <c r="M47" s="60"/>
      <c r="X47" s="16"/>
      <c r="Y47"/>
    </row>
    <row r="48" spans="2:25" ht="15.75" x14ac:dyDescent="0.25">
      <c r="C48" s="1" t="s">
        <v>20</v>
      </c>
      <c r="F48" s="15"/>
      <c r="M48" s="60"/>
      <c r="X48" s="16"/>
      <c r="Y48"/>
    </row>
    <row r="49" spans="6:43" x14ac:dyDescent="0.25">
      <c r="F49" s="15"/>
      <c r="M49" s="60"/>
      <c r="X49" s="16"/>
      <c r="Y49"/>
    </row>
    <row r="50" spans="6:43" x14ac:dyDescent="0.25">
      <c r="M50" s="60"/>
      <c r="X50" s="16"/>
      <c r="Y50"/>
    </row>
    <row r="51" spans="6:43" x14ac:dyDescent="0.25">
      <c r="M51" t="s">
        <v>79</v>
      </c>
      <c r="AB51" t="s">
        <v>80</v>
      </c>
      <c r="AD51" s="16"/>
    </row>
    <row r="52" spans="6:43" ht="30.75" thickBot="1" x14ac:dyDescent="0.3">
      <c r="M52" s="207" t="s">
        <v>51</v>
      </c>
      <c r="N52" s="205" t="s">
        <v>43</v>
      </c>
      <c r="O52" s="205" t="s">
        <v>37</v>
      </c>
      <c r="P52" s="205" t="s">
        <v>38</v>
      </c>
      <c r="Q52" s="205" t="s">
        <v>39</v>
      </c>
      <c r="R52" s="205" t="s">
        <v>88</v>
      </c>
      <c r="S52" s="205" t="s">
        <v>120</v>
      </c>
      <c r="T52" s="205" t="s">
        <v>44</v>
      </c>
      <c r="U52" s="205" t="s">
        <v>40</v>
      </c>
      <c r="V52" s="205" t="s">
        <v>41</v>
      </c>
      <c r="W52" s="208" t="s">
        <v>42</v>
      </c>
      <c r="X52" s="208" t="s">
        <v>89</v>
      </c>
      <c r="Y52" s="208" t="s">
        <v>90</v>
      </c>
      <c r="Z52" s="209" t="s">
        <v>95</v>
      </c>
      <c r="AA52" s="207" t="s">
        <v>96</v>
      </c>
      <c r="AC52" s="207" t="s">
        <v>51</v>
      </c>
      <c r="AD52" s="205" t="s">
        <v>43</v>
      </c>
      <c r="AE52" s="205" t="s">
        <v>37</v>
      </c>
      <c r="AF52" s="205" t="s">
        <v>38</v>
      </c>
      <c r="AG52" s="205" t="s">
        <v>39</v>
      </c>
      <c r="AH52" s="205" t="s">
        <v>88</v>
      </c>
      <c r="AI52" s="205" t="s">
        <v>120</v>
      </c>
      <c r="AJ52" s="205" t="s">
        <v>44</v>
      </c>
      <c r="AK52" s="205" t="s">
        <v>40</v>
      </c>
      <c r="AL52" s="205" t="s">
        <v>41</v>
      </c>
      <c r="AM52" s="205" t="s">
        <v>42</v>
      </c>
      <c r="AN52" s="205" t="s">
        <v>89</v>
      </c>
      <c r="AO52" s="208" t="s">
        <v>90</v>
      </c>
      <c r="AP52" s="207" t="s">
        <v>95</v>
      </c>
      <c r="AQ52" s="207" t="s">
        <v>96</v>
      </c>
    </row>
    <row r="53" spans="6:43" ht="15.75" thickTop="1" x14ac:dyDescent="0.25">
      <c r="M53" s="175">
        <v>11</v>
      </c>
      <c r="N53" s="175">
        <v>1</v>
      </c>
      <c r="O53" s="175">
        <v>4</v>
      </c>
      <c r="P53" s="175">
        <v>5</v>
      </c>
      <c r="Q53" s="175" t="s">
        <v>22</v>
      </c>
      <c r="R53" s="175" t="s">
        <v>22</v>
      </c>
      <c r="S53" s="175" t="s">
        <v>22</v>
      </c>
      <c r="T53" s="175" t="s">
        <v>22</v>
      </c>
      <c r="U53" s="175" t="s">
        <v>22</v>
      </c>
      <c r="V53" s="175" t="s">
        <v>22</v>
      </c>
      <c r="W53" s="175" t="s">
        <v>22</v>
      </c>
      <c r="X53" s="175" t="s">
        <v>22</v>
      </c>
      <c r="Y53" s="175" t="s">
        <v>22</v>
      </c>
      <c r="Z53" s="175" t="s">
        <v>22</v>
      </c>
      <c r="AA53" s="175" t="s">
        <v>22</v>
      </c>
      <c r="AC53" s="6">
        <v>11</v>
      </c>
      <c r="AD53" s="175">
        <v>4</v>
      </c>
      <c r="AE53" s="175">
        <v>5</v>
      </c>
      <c r="AF53" s="175" t="s">
        <v>22</v>
      </c>
      <c r="AG53" s="175" t="s">
        <v>22</v>
      </c>
      <c r="AH53" s="176" t="s">
        <v>22</v>
      </c>
      <c r="AI53" s="176" t="s">
        <v>22</v>
      </c>
      <c r="AJ53" s="175" t="s">
        <v>22</v>
      </c>
      <c r="AK53" s="175" t="s">
        <v>22</v>
      </c>
      <c r="AL53" s="175" t="s">
        <v>22</v>
      </c>
      <c r="AM53" s="175" t="s">
        <v>22</v>
      </c>
      <c r="AN53" s="175" t="s">
        <v>22</v>
      </c>
      <c r="AO53" s="175" t="s">
        <v>22</v>
      </c>
      <c r="AP53" s="175" t="s">
        <v>22</v>
      </c>
      <c r="AQ53" s="175" t="s">
        <v>22</v>
      </c>
    </row>
    <row r="54" spans="6:43" x14ac:dyDescent="0.25">
      <c r="M54" s="175">
        <v>15</v>
      </c>
      <c r="N54" s="175">
        <v>4</v>
      </c>
      <c r="O54" s="175" t="s">
        <v>22</v>
      </c>
      <c r="P54" s="175" t="s">
        <v>22</v>
      </c>
      <c r="Q54" s="175" t="s">
        <v>22</v>
      </c>
      <c r="R54" s="175" t="s">
        <v>22</v>
      </c>
      <c r="S54" s="175" t="s">
        <v>22</v>
      </c>
      <c r="T54" s="175" t="s">
        <v>22</v>
      </c>
      <c r="U54" s="175" t="s">
        <v>22</v>
      </c>
      <c r="V54" s="175" t="s">
        <v>22</v>
      </c>
      <c r="W54" s="175" t="s">
        <v>22</v>
      </c>
      <c r="X54" s="175" t="s">
        <v>22</v>
      </c>
      <c r="Y54" s="175" t="s">
        <v>22</v>
      </c>
      <c r="Z54" s="175" t="s">
        <v>22</v>
      </c>
      <c r="AA54" s="175" t="s">
        <v>22</v>
      </c>
      <c r="AC54" s="6">
        <v>15</v>
      </c>
      <c r="AD54" s="175">
        <v>3</v>
      </c>
      <c r="AE54" s="175">
        <v>4</v>
      </c>
      <c r="AF54" s="175" t="s">
        <v>22</v>
      </c>
      <c r="AG54" s="175" t="s">
        <v>22</v>
      </c>
      <c r="AH54" s="176" t="s">
        <v>22</v>
      </c>
      <c r="AI54" s="176" t="s">
        <v>22</v>
      </c>
      <c r="AJ54" s="175" t="s">
        <v>22</v>
      </c>
      <c r="AK54" s="175" t="s">
        <v>22</v>
      </c>
      <c r="AL54" s="175" t="s">
        <v>22</v>
      </c>
      <c r="AM54" s="175" t="s">
        <v>22</v>
      </c>
      <c r="AN54" s="175" t="s">
        <v>22</v>
      </c>
      <c r="AO54" s="175" t="s">
        <v>22</v>
      </c>
      <c r="AP54" s="175" t="s">
        <v>22</v>
      </c>
      <c r="AQ54" s="175" t="s">
        <v>22</v>
      </c>
    </row>
    <row r="55" spans="6:43" x14ac:dyDescent="0.25">
      <c r="M55" s="175">
        <v>19</v>
      </c>
      <c r="N55" s="175">
        <v>4</v>
      </c>
      <c r="O55" s="175">
        <v>5</v>
      </c>
      <c r="P55" s="175" t="s">
        <v>22</v>
      </c>
      <c r="Q55" s="175" t="s">
        <v>22</v>
      </c>
      <c r="R55" s="175" t="s">
        <v>22</v>
      </c>
      <c r="S55" s="175" t="s">
        <v>22</v>
      </c>
      <c r="T55" s="175" t="s">
        <v>22</v>
      </c>
      <c r="U55" s="175" t="s">
        <v>22</v>
      </c>
      <c r="V55" s="175" t="s">
        <v>22</v>
      </c>
      <c r="W55" s="175" t="s">
        <v>22</v>
      </c>
      <c r="X55" s="175" t="s">
        <v>22</v>
      </c>
      <c r="Y55" s="175" t="s">
        <v>22</v>
      </c>
      <c r="Z55" s="175" t="s">
        <v>22</v>
      </c>
      <c r="AA55" s="175" t="s">
        <v>22</v>
      </c>
      <c r="AC55" s="6">
        <v>19</v>
      </c>
      <c r="AD55" s="175">
        <v>4</v>
      </c>
      <c r="AE55" s="175">
        <v>8</v>
      </c>
      <c r="AF55" s="175" t="s">
        <v>22</v>
      </c>
      <c r="AG55" s="175" t="s">
        <v>22</v>
      </c>
      <c r="AH55" s="176" t="s">
        <v>22</v>
      </c>
      <c r="AI55" s="176" t="s">
        <v>22</v>
      </c>
      <c r="AJ55" s="175">
        <v>6</v>
      </c>
      <c r="AK55" s="175" t="s">
        <v>22</v>
      </c>
      <c r="AL55" s="175" t="s">
        <v>22</v>
      </c>
      <c r="AM55" s="175" t="s">
        <v>22</v>
      </c>
      <c r="AN55" s="175" t="s">
        <v>22</v>
      </c>
      <c r="AO55" s="175" t="s">
        <v>22</v>
      </c>
      <c r="AP55" s="175" t="s">
        <v>22</v>
      </c>
      <c r="AQ55" s="175" t="s">
        <v>22</v>
      </c>
    </row>
    <row r="56" spans="6:43" x14ac:dyDescent="0.25">
      <c r="M56" s="175">
        <v>20</v>
      </c>
      <c r="N56" s="175">
        <v>10</v>
      </c>
      <c r="O56" s="175">
        <v>12</v>
      </c>
      <c r="P56" s="175" t="s">
        <v>22</v>
      </c>
      <c r="Q56" s="175" t="s">
        <v>22</v>
      </c>
      <c r="R56" s="175" t="s">
        <v>22</v>
      </c>
      <c r="S56" s="175" t="s">
        <v>22</v>
      </c>
      <c r="T56" s="175">
        <v>1</v>
      </c>
      <c r="U56" s="175">
        <v>2</v>
      </c>
      <c r="V56" s="175">
        <v>3</v>
      </c>
      <c r="W56" s="175" t="s">
        <v>22</v>
      </c>
      <c r="X56" s="175" t="s">
        <v>22</v>
      </c>
      <c r="Y56" s="175" t="s">
        <v>22</v>
      </c>
      <c r="Z56" s="175" t="s">
        <v>22</v>
      </c>
      <c r="AA56" s="175" t="s">
        <v>22</v>
      </c>
      <c r="AC56" s="6">
        <v>20</v>
      </c>
      <c r="AD56" s="175">
        <v>10</v>
      </c>
      <c r="AE56" s="175">
        <v>12</v>
      </c>
      <c r="AF56" s="175" t="s">
        <v>22</v>
      </c>
      <c r="AG56" s="175" t="s">
        <v>22</v>
      </c>
      <c r="AH56" s="176" t="s">
        <v>22</v>
      </c>
      <c r="AI56" s="176" t="s">
        <v>22</v>
      </c>
      <c r="AJ56" s="175">
        <v>1</v>
      </c>
      <c r="AK56" s="175">
        <v>3</v>
      </c>
      <c r="AL56" s="175" t="s">
        <v>22</v>
      </c>
      <c r="AM56" s="175" t="s">
        <v>22</v>
      </c>
      <c r="AN56" s="175" t="s">
        <v>22</v>
      </c>
      <c r="AO56" s="175" t="s">
        <v>22</v>
      </c>
      <c r="AP56" s="175" t="s">
        <v>22</v>
      </c>
      <c r="AQ56" s="175" t="s">
        <v>22</v>
      </c>
    </row>
    <row r="57" spans="6:43" x14ac:dyDescent="0.25">
      <c r="M57" s="175">
        <v>21</v>
      </c>
      <c r="N57" s="175">
        <v>12</v>
      </c>
      <c r="O57" s="175">
        <v>13</v>
      </c>
      <c r="P57" s="175" t="s">
        <v>22</v>
      </c>
      <c r="Q57" s="175" t="s">
        <v>22</v>
      </c>
      <c r="R57" s="175" t="s">
        <v>22</v>
      </c>
      <c r="S57" s="175" t="s">
        <v>22</v>
      </c>
      <c r="T57" s="175">
        <v>1</v>
      </c>
      <c r="U57" s="175">
        <v>2</v>
      </c>
      <c r="V57" s="175">
        <v>4</v>
      </c>
      <c r="W57" s="175" t="s">
        <v>22</v>
      </c>
      <c r="X57" s="175" t="s">
        <v>22</v>
      </c>
      <c r="Y57" s="175" t="s">
        <v>22</v>
      </c>
      <c r="Z57" s="175" t="s">
        <v>22</v>
      </c>
      <c r="AA57" s="175" t="s">
        <v>22</v>
      </c>
      <c r="AC57" s="6">
        <v>21</v>
      </c>
      <c r="AD57" s="175">
        <v>12</v>
      </c>
      <c r="AE57" s="175">
        <v>13</v>
      </c>
      <c r="AF57" s="175" t="s">
        <v>22</v>
      </c>
      <c r="AG57" s="175" t="s">
        <v>22</v>
      </c>
      <c r="AH57" s="176" t="s">
        <v>22</v>
      </c>
      <c r="AI57" s="176" t="s">
        <v>22</v>
      </c>
      <c r="AJ57" s="175">
        <v>1</v>
      </c>
      <c r="AK57" s="175">
        <v>3</v>
      </c>
      <c r="AL57" s="175" t="s">
        <v>22</v>
      </c>
      <c r="AM57" s="175" t="s">
        <v>22</v>
      </c>
      <c r="AN57" s="175" t="s">
        <v>22</v>
      </c>
      <c r="AO57" s="175" t="s">
        <v>22</v>
      </c>
      <c r="AP57" s="175" t="s">
        <v>22</v>
      </c>
      <c r="AQ57" s="175" t="s">
        <v>22</v>
      </c>
    </row>
    <row r="58" spans="6:43" x14ac:dyDescent="0.25">
      <c r="M58" s="175">
        <v>22</v>
      </c>
      <c r="N58" s="175">
        <v>1</v>
      </c>
      <c r="O58" s="175">
        <v>3</v>
      </c>
      <c r="P58" s="175" t="s">
        <v>22</v>
      </c>
      <c r="Q58" s="175" t="s">
        <v>22</v>
      </c>
      <c r="R58" s="175" t="s">
        <v>22</v>
      </c>
      <c r="S58" s="175" t="s">
        <v>22</v>
      </c>
      <c r="T58" s="175" t="s">
        <v>22</v>
      </c>
      <c r="U58" s="175" t="s">
        <v>22</v>
      </c>
      <c r="V58" s="175" t="s">
        <v>22</v>
      </c>
      <c r="W58" s="175" t="s">
        <v>22</v>
      </c>
      <c r="X58" s="175" t="s">
        <v>22</v>
      </c>
      <c r="Y58" s="175" t="s">
        <v>22</v>
      </c>
      <c r="Z58" s="175" t="s">
        <v>22</v>
      </c>
      <c r="AA58" s="175" t="s">
        <v>22</v>
      </c>
      <c r="AC58" s="6">
        <v>22</v>
      </c>
      <c r="AD58" s="175">
        <v>1</v>
      </c>
      <c r="AE58" s="175">
        <v>3</v>
      </c>
      <c r="AF58" s="175" t="s">
        <v>22</v>
      </c>
      <c r="AG58" s="175" t="s">
        <v>22</v>
      </c>
      <c r="AH58" s="176" t="s">
        <v>22</v>
      </c>
      <c r="AI58" s="176" t="s">
        <v>22</v>
      </c>
      <c r="AJ58" s="175">
        <v>7</v>
      </c>
      <c r="AK58" s="175" t="s">
        <v>22</v>
      </c>
      <c r="AL58" s="175" t="s">
        <v>22</v>
      </c>
      <c r="AM58" s="175" t="s">
        <v>22</v>
      </c>
      <c r="AN58" s="175" t="s">
        <v>22</v>
      </c>
      <c r="AO58" s="175" t="s">
        <v>22</v>
      </c>
      <c r="AP58" s="175" t="s">
        <v>22</v>
      </c>
      <c r="AQ58" s="175" t="s">
        <v>22</v>
      </c>
    </row>
    <row r="59" spans="6:43" x14ac:dyDescent="0.25">
      <c r="M59" s="175">
        <v>26</v>
      </c>
      <c r="N59" s="175">
        <v>10</v>
      </c>
      <c r="O59" s="175" t="s">
        <v>22</v>
      </c>
      <c r="P59" s="175" t="s">
        <v>22</v>
      </c>
      <c r="Q59" s="175" t="s">
        <v>22</v>
      </c>
      <c r="R59" s="175" t="s">
        <v>22</v>
      </c>
      <c r="S59" s="175" t="s">
        <v>22</v>
      </c>
      <c r="T59" s="175">
        <v>1</v>
      </c>
      <c r="U59" s="175">
        <v>3</v>
      </c>
      <c r="V59" s="175" t="s">
        <v>22</v>
      </c>
      <c r="W59" s="175" t="s">
        <v>22</v>
      </c>
      <c r="X59" s="175" t="s">
        <v>22</v>
      </c>
      <c r="Y59" s="175" t="s">
        <v>22</v>
      </c>
      <c r="Z59" s="175" t="s">
        <v>22</v>
      </c>
      <c r="AA59" s="175" t="s">
        <v>22</v>
      </c>
      <c r="AC59" s="6">
        <v>26</v>
      </c>
      <c r="AD59" s="175">
        <v>10</v>
      </c>
      <c r="AE59" s="175" t="s">
        <v>22</v>
      </c>
      <c r="AF59" s="175" t="s">
        <v>22</v>
      </c>
      <c r="AG59" s="175" t="s">
        <v>22</v>
      </c>
      <c r="AH59" s="176" t="s">
        <v>22</v>
      </c>
      <c r="AI59" s="176" t="s">
        <v>22</v>
      </c>
      <c r="AJ59" s="175">
        <v>7</v>
      </c>
      <c r="AK59" s="175" t="s">
        <v>22</v>
      </c>
      <c r="AL59" s="175" t="s">
        <v>22</v>
      </c>
      <c r="AM59" s="175" t="s">
        <v>22</v>
      </c>
      <c r="AN59" s="175" t="s">
        <v>22</v>
      </c>
      <c r="AO59" s="175" t="s">
        <v>22</v>
      </c>
      <c r="AP59" s="175" t="s">
        <v>22</v>
      </c>
      <c r="AQ59" s="175" t="s">
        <v>22</v>
      </c>
    </row>
    <row r="60" spans="6:43" x14ac:dyDescent="0.25">
      <c r="M60" s="175">
        <v>27</v>
      </c>
      <c r="N60" s="175">
        <v>10</v>
      </c>
      <c r="O60" s="175" t="s">
        <v>22</v>
      </c>
      <c r="P60" s="175" t="s">
        <v>22</v>
      </c>
      <c r="Q60" s="175" t="s">
        <v>22</v>
      </c>
      <c r="R60" s="175" t="s">
        <v>22</v>
      </c>
      <c r="S60" s="175" t="s">
        <v>22</v>
      </c>
      <c r="T60" s="175">
        <v>1</v>
      </c>
      <c r="U60" s="175">
        <v>3</v>
      </c>
      <c r="V60" s="175" t="s">
        <v>22</v>
      </c>
      <c r="W60" s="175" t="s">
        <v>22</v>
      </c>
      <c r="X60" s="175" t="s">
        <v>22</v>
      </c>
      <c r="Y60" s="175" t="s">
        <v>22</v>
      </c>
      <c r="Z60" s="175" t="s">
        <v>22</v>
      </c>
      <c r="AA60" s="175" t="s">
        <v>22</v>
      </c>
      <c r="AC60" s="6">
        <v>27</v>
      </c>
      <c r="AD60" s="175">
        <v>10</v>
      </c>
      <c r="AE60" s="175" t="s">
        <v>22</v>
      </c>
      <c r="AF60" s="175" t="s">
        <v>22</v>
      </c>
      <c r="AG60" s="175" t="s">
        <v>22</v>
      </c>
      <c r="AH60" s="176" t="s">
        <v>22</v>
      </c>
      <c r="AI60" s="176" t="s">
        <v>22</v>
      </c>
      <c r="AJ60" s="175">
        <v>1</v>
      </c>
      <c r="AK60" s="175">
        <v>2</v>
      </c>
      <c r="AL60" s="175">
        <v>3</v>
      </c>
      <c r="AM60" s="175" t="s">
        <v>22</v>
      </c>
      <c r="AN60" s="175" t="s">
        <v>22</v>
      </c>
      <c r="AO60" s="175" t="s">
        <v>22</v>
      </c>
      <c r="AP60" s="175" t="s">
        <v>22</v>
      </c>
      <c r="AQ60" s="175" t="s">
        <v>22</v>
      </c>
    </row>
    <row r="61" spans="6:43" x14ac:dyDescent="0.25">
      <c r="M61" s="175">
        <v>30</v>
      </c>
      <c r="N61" s="175">
        <v>13</v>
      </c>
      <c r="O61" s="175">
        <v>20</v>
      </c>
      <c r="P61" s="175">
        <v>25</v>
      </c>
      <c r="Q61" s="175" t="s">
        <v>22</v>
      </c>
      <c r="R61" s="175" t="s">
        <v>22</v>
      </c>
      <c r="S61" s="175" t="s">
        <v>22</v>
      </c>
      <c r="T61" s="175">
        <v>9</v>
      </c>
      <c r="U61" s="175">
        <v>10</v>
      </c>
      <c r="V61" s="175">
        <v>11</v>
      </c>
      <c r="W61" s="175">
        <v>12</v>
      </c>
      <c r="X61" s="175">
        <v>14</v>
      </c>
      <c r="Y61" s="175">
        <v>15</v>
      </c>
      <c r="Z61" s="175" t="s">
        <v>22</v>
      </c>
      <c r="AA61" s="175" t="s">
        <v>22</v>
      </c>
      <c r="AC61" s="6">
        <v>30</v>
      </c>
      <c r="AD61" s="175">
        <v>20</v>
      </c>
      <c r="AE61" s="175">
        <v>25</v>
      </c>
      <c r="AF61" s="175" t="s">
        <v>22</v>
      </c>
      <c r="AG61" s="175" t="s">
        <v>22</v>
      </c>
      <c r="AH61" s="176" t="s">
        <v>22</v>
      </c>
      <c r="AI61" s="176" t="s">
        <v>22</v>
      </c>
      <c r="AJ61" s="175">
        <v>10</v>
      </c>
      <c r="AK61" s="175">
        <v>11</v>
      </c>
      <c r="AL61" s="175" t="s">
        <v>22</v>
      </c>
      <c r="AM61" s="175" t="s">
        <v>22</v>
      </c>
      <c r="AN61" s="175" t="s">
        <v>22</v>
      </c>
      <c r="AO61" s="175" t="s">
        <v>22</v>
      </c>
      <c r="AP61" s="175" t="s">
        <v>22</v>
      </c>
      <c r="AQ61" s="175" t="s">
        <v>22</v>
      </c>
    </row>
    <row r="62" spans="6:43" x14ac:dyDescent="0.25">
      <c r="M62" s="198">
        <v>31</v>
      </c>
      <c r="N62" s="175">
        <v>16</v>
      </c>
      <c r="O62" s="175">
        <v>23</v>
      </c>
      <c r="P62" s="175" t="s">
        <v>22</v>
      </c>
      <c r="Q62" s="175" t="s">
        <v>22</v>
      </c>
      <c r="R62" s="175" t="s">
        <v>22</v>
      </c>
      <c r="S62" s="175" t="s">
        <v>22</v>
      </c>
      <c r="T62" s="175">
        <v>13</v>
      </c>
      <c r="U62" s="175">
        <v>14</v>
      </c>
      <c r="V62" s="175" t="s">
        <v>22</v>
      </c>
      <c r="W62" s="175" t="s">
        <v>22</v>
      </c>
      <c r="X62" s="175" t="s">
        <v>22</v>
      </c>
      <c r="Y62" s="175" t="s">
        <v>22</v>
      </c>
      <c r="Z62" s="175" t="s">
        <v>22</v>
      </c>
      <c r="AA62" s="175" t="s">
        <v>22</v>
      </c>
      <c r="AB62" s="175"/>
      <c r="AC62" s="58">
        <v>31</v>
      </c>
      <c r="AD62" s="175">
        <v>19</v>
      </c>
      <c r="AE62" s="175">
        <v>23</v>
      </c>
      <c r="AF62" s="175">
        <v>24</v>
      </c>
      <c r="AG62" s="175" t="s">
        <v>22</v>
      </c>
      <c r="AH62" s="176" t="s">
        <v>22</v>
      </c>
      <c r="AI62" s="176" t="s">
        <v>22</v>
      </c>
      <c r="AJ62" s="175">
        <v>13</v>
      </c>
      <c r="AK62" s="175">
        <v>14</v>
      </c>
      <c r="AL62" s="175">
        <v>16</v>
      </c>
      <c r="AM62" s="175" t="s">
        <v>22</v>
      </c>
      <c r="AN62" s="175" t="s">
        <v>22</v>
      </c>
      <c r="AO62" s="175" t="s">
        <v>22</v>
      </c>
      <c r="AP62" s="175" t="s">
        <v>22</v>
      </c>
      <c r="AQ62" s="175" t="s">
        <v>22</v>
      </c>
    </row>
    <row r="63" spans="6:43" x14ac:dyDescent="0.25">
      <c r="M63" s="198">
        <v>32</v>
      </c>
      <c r="N63" s="175">
        <v>23</v>
      </c>
      <c r="O63" s="175">
        <v>24</v>
      </c>
      <c r="P63" s="175" t="s">
        <v>22</v>
      </c>
      <c r="Q63" s="175" t="s">
        <v>22</v>
      </c>
      <c r="R63" s="175" t="s">
        <v>22</v>
      </c>
      <c r="S63" s="175" t="s">
        <v>22</v>
      </c>
      <c r="T63" s="175">
        <v>13</v>
      </c>
      <c r="U63" s="175">
        <v>14</v>
      </c>
      <c r="V63" s="175" t="s">
        <v>22</v>
      </c>
      <c r="W63" s="175" t="s">
        <v>22</v>
      </c>
      <c r="X63" s="175" t="s">
        <v>22</v>
      </c>
      <c r="Y63" s="175" t="s">
        <v>22</v>
      </c>
      <c r="Z63" s="175" t="s">
        <v>22</v>
      </c>
      <c r="AA63" s="175" t="s">
        <v>22</v>
      </c>
      <c r="AB63" s="175"/>
      <c r="AC63" s="58">
        <v>32</v>
      </c>
      <c r="AD63" s="175">
        <v>19</v>
      </c>
      <c r="AE63" s="175">
        <v>24</v>
      </c>
      <c r="AF63" s="175">
        <v>25</v>
      </c>
      <c r="AG63" s="175" t="s">
        <v>22</v>
      </c>
      <c r="AH63" s="176" t="s">
        <v>22</v>
      </c>
      <c r="AI63" s="176" t="s">
        <v>22</v>
      </c>
      <c r="AJ63" s="175">
        <v>13</v>
      </c>
      <c r="AK63" s="175">
        <v>14</v>
      </c>
      <c r="AL63" s="175">
        <v>16</v>
      </c>
      <c r="AM63" s="175" t="s">
        <v>22</v>
      </c>
      <c r="AN63" s="175" t="s">
        <v>22</v>
      </c>
      <c r="AO63" s="175" t="s">
        <v>22</v>
      </c>
      <c r="AP63" s="175" t="s">
        <v>22</v>
      </c>
      <c r="AQ63" s="175" t="s">
        <v>22</v>
      </c>
    </row>
    <row r="64" spans="6:43" x14ac:dyDescent="0.25">
      <c r="M64" s="198">
        <v>35</v>
      </c>
      <c r="N64" s="175">
        <v>20</v>
      </c>
      <c r="O64" s="175">
        <v>23</v>
      </c>
      <c r="P64" s="175" t="s">
        <v>22</v>
      </c>
      <c r="Q64" s="175" t="s">
        <v>22</v>
      </c>
      <c r="R64" s="175" t="s">
        <v>22</v>
      </c>
      <c r="S64" s="175" t="s">
        <v>22</v>
      </c>
      <c r="T64" s="175">
        <v>10</v>
      </c>
      <c r="U64" s="175">
        <v>12</v>
      </c>
      <c r="V64" s="175">
        <v>13</v>
      </c>
      <c r="W64" s="175">
        <v>14</v>
      </c>
      <c r="X64" s="175" t="s">
        <v>22</v>
      </c>
      <c r="Y64" s="175" t="s">
        <v>22</v>
      </c>
      <c r="Z64" s="175" t="s">
        <v>22</v>
      </c>
      <c r="AA64" s="175" t="s">
        <v>22</v>
      </c>
      <c r="AB64" s="175"/>
      <c r="AC64" s="58">
        <v>35</v>
      </c>
      <c r="AD64" s="175">
        <v>20</v>
      </c>
      <c r="AE64" s="175">
        <v>24</v>
      </c>
      <c r="AF64" s="175">
        <v>25</v>
      </c>
      <c r="AG64" s="175" t="s">
        <v>22</v>
      </c>
      <c r="AH64" s="176" t="s">
        <v>22</v>
      </c>
      <c r="AI64" s="176" t="s">
        <v>22</v>
      </c>
      <c r="AJ64" s="175">
        <v>13</v>
      </c>
      <c r="AK64" s="175">
        <v>17</v>
      </c>
      <c r="AL64" s="175" t="s">
        <v>22</v>
      </c>
      <c r="AM64" s="175" t="s">
        <v>22</v>
      </c>
      <c r="AN64" s="175" t="s">
        <v>22</v>
      </c>
      <c r="AO64" s="175" t="s">
        <v>22</v>
      </c>
      <c r="AP64" s="175" t="s">
        <v>22</v>
      </c>
      <c r="AQ64" s="175" t="s">
        <v>22</v>
      </c>
    </row>
    <row r="65" spans="13:43" x14ac:dyDescent="0.25">
      <c r="M65" s="58">
        <v>37</v>
      </c>
      <c r="N65" s="175">
        <v>12</v>
      </c>
      <c r="O65" s="175" t="s">
        <v>22</v>
      </c>
      <c r="P65" s="175" t="s">
        <v>22</v>
      </c>
      <c r="Q65" s="175" t="s">
        <v>22</v>
      </c>
      <c r="R65" s="175" t="s">
        <v>22</v>
      </c>
      <c r="S65" s="175" t="s">
        <v>22</v>
      </c>
      <c r="T65" s="175">
        <v>1</v>
      </c>
      <c r="U65" s="175" t="s">
        <v>22</v>
      </c>
      <c r="V65" s="175" t="s">
        <v>22</v>
      </c>
      <c r="W65" s="175" t="s">
        <v>22</v>
      </c>
      <c r="X65" s="175" t="s">
        <v>22</v>
      </c>
      <c r="Y65" s="175" t="s">
        <v>22</v>
      </c>
      <c r="Z65" s="175" t="s">
        <v>22</v>
      </c>
      <c r="AA65" s="175" t="s">
        <v>22</v>
      </c>
      <c r="AB65" s="175"/>
      <c r="AC65" s="58">
        <v>37</v>
      </c>
      <c r="AD65" s="175">
        <v>21</v>
      </c>
      <c r="AE65" s="175">
        <v>25</v>
      </c>
      <c r="AF65" s="175" t="s">
        <v>22</v>
      </c>
      <c r="AG65" s="175" t="s">
        <v>22</v>
      </c>
      <c r="AH65" s="176" t="s">
        <v>22</v>
      </c>
      <c r="AI65" s="176" t="s">
        <v>22</v>
      </c>
      <c r="AJ65" s="175">
        <v>12</v>
      </c>
      <c r="AK65" s="175" t="s">
        <v>22</v>
      </c>
      <c r="AL65" s="175" t="s">
        <v>22</v>
      </c>
      <c r="AM65" s="175" t="s">
        <v>22</v>
      </c>
      <c r="AN65" s="175" t="s">
        <v>22</v>
      </c>
      <c r="AO65" s="175" t="s">
        <v>22</v>
      </c>
      <c r="AP65" s="175" t="s">
        <v>22</v>
      </c>
      <c r="AQ65" s="175" t="s">
        <v>22</v>
      </c>
    </row>
    <row r="66" spans="13:43" x14ac:dyDescent="0.25">
      <c r="M66" s="198">
        <v>40</v>
      </c>
      <c r="N66" s="175">
        <v>30</v>
      </c>
      <c r="O66" s="175">
        <v>35</v>
      </c>
      <c r="P66" s="175" t="s">
        <v>22</v>
      </c>
      <c r="Q66" s="175" t="s">
        <v>22</v>
      </c>
      <c r="R66" s="175" t="s">
        <v>22</v>
      </c>
      <c r="S66" s="175" t="s">
        <v>22</v>
      </c>
      <c r="T66" s="175">
        <v>13</v>
      </c>
      <c r="U66" s="175">
        <v>20</v>
      </c>
      <c r="V66" s="175">
        <v>23</v>
      </c>
      <c r="W66" s="175">
        <v>25</v>
      </c>
      <c r="X66" s="175" t="s">
        <v>22</v>
      </c>
      <c r="Y66" s="175" t="s">
        <v>22</v>
      </c>
      <c r="Z66" s="175" t="s">
        <v>22</v>
      </c>
      <c r="AA66" s="175" t="s">
        <v>22</v>
      </c>
      <c r="AB66" s="175"/>
      <c r="AC66" s="58">
        <v>40</v>
      </c>
      <c r="AD66" s="175">
        <v>30</v>
      </c>
      <c r="AE66" s="175">
        <v>35</v>
      </c>
      <c r="AF66" s="175" t="s">
        <v>22</v>
      </c>
      <c r="AG66" s="175" t="s">
        <v>22</v>
      </c>
      <c r="AH66" s="176" t="s">
        <v>22</v>
      </c>
      <c r="AI66" s="176" t="s">
        <v>22</v>
      </c>
      <c r="AJ66" s="175">
        <v>27</v>
      </c>
      <c r="AK66" s="175">
        <v>29</v>
      </c>
      <c r="AL66" s="175" t="s">
        <v>22</v>
      </c>
      <c r="AM66" s="175" t="s">
        <v>22</v>
      </c>
      <c r="AN66" s="175" t="s">
        <v>22</v>
      </c>
      <c r="AO66" s="175" t="s">
        <v>22</v>
      </c>
      <c r="AP66" s="175" t="s">
        <v>22</v>
      </c>
      <c r="AQ66" s="175" t="s">
        <v>22</v>
      </c>
    </row>
    <row r="67" spans="13:43" x14ac:dyDescent="0.25">
      <c r="M67" s="198">
        <v>41</v>
      </c>
      <c r="N67" s="175">
        <v>30</v>
      </c>
      <c r="O67" s="175">
        <v>31</v>
      </c>
      <c r="P67" s="175" t="s">
        <v>22</v>
      </c>
      <c r="Q67" s="175" t="s">
        <v>22</v>
      </c>
      <c r="R67" s="175" t="s">
        <v>22</v>
      </c>
      <c r="S67" s="175" t="s">
        <v>22</v>
      </c>
      <c r="T67" s="175">
        <v>13</v>
      </c>
      <c r="U67" s="175">
        <v>20</v>
      </c>
      <c r="V67" s="175">
        <v>23</v>
      </c>
      <c r="W67" s="175">
        <v>24</v>
      </c>
      <c r="X67" s="175">
        <v>25</v>
      </c>
      <c r="Y67" s="175" t="s">
        <v>22</v>
      </c>
      <c r="Z67" s="175" t="s">
        <v>22</v>
      </c>
      <c r="AA67" s="175" t="s">
        <v>22</v>
      </c>
      <c r="AB67" s="175"/>
      <c r="AC67" s="58">
        <v>41</v>
      </c>
      <c r="AD67" s="175">
        <v>24</v>
      </c>
      <c r="AE67" s="175">
        <v>30</v>
      </c>
      <c r="AF67" s="175" t="s">
        <v>22</v>
      </c>
      <c r="AG67" s="175" t="s">
        <v>22</v>
      </c>
      <c r="AH67" s="176" t="s">
        <v>22</v>
      </c>
      <c r="AI67" s="176" t="s">
        <v>22</v>
      </c>
      <c r="AJ67" s="175">
        <v>25</v>
      </c>
      <c r="AK67" s="175" t="s">
        <v>22</v>
      </c>
      <c r="AL67" s="175" t="s">
        <v>22</v>
      </c>
      <c r="AM67" s="175" t="s">
        <v>22</v>
      </c>
      <c r="AN67" s="175" t="s">
        <v>22</v>
      </c>
      <c r="AO67" s="175" t="s">
        <v>22</v>
      </c>
      <c r="AP67" s="175" t="s">
        <v>22</v>
      </c>
      <c r="AQ67" s="175" t="s">
        <v>22</v>
      </c>
    </row>
    <row r="68" spans="13:43" x14ac:dyDescent="0.25">
      <c r="M68" s="198">
        <v>43</v>
      </c>
      <c r="N68" s="175">
        <v>22</v>
      </c>
      <c r="O68" s="175">
        <v>30</v>
      </c>
      <c r="P68" s="175" t="s">
        <v>22</v>
      </c>
      <c r="Q68" s="175" t="s">
        <v>22</v>
      </c>
      <c r="R68" s="175" t="s">
        <v>22</v>
      </c>
      <c r="S68" s="175" t="s">
        <v>22</v>
      </c>
      <c r="T68" s="175">
        <v>13</v>
      </c>
      <c r="U68" s="175">
        <v>20</v>
      </c>
      <c r="V68" s="175">
        <v>25</v>
      </c>
      <c r="W68" s="175" t="s">
        <v>22</v>
      </c>
      <c r="X68" s="175" t="s">
        <v>22</v>
      </c>
      <c r="Y68" s="175" t="s">
        <v>22</v>
      </c>
      <c r="Z68" s="175" t="s">
        <v>22</v>
      </c>
      <c r="AA68" s="175" t="s">
        <v>22</v>
      </c>
      <c r="AB68" s="175"/>
      <c r="AC68" s="212">
        <v>43</v>
      </c>
      <c r="AD68" s="210">
        <v>22</v>
      </c>
      <c r="AE68" s="210">
        <v>26</v>
      </c>
      <c r="AF68" s="210">
        <v>30</v>
      </c>
      <c r="AG68" s="211" t="s">
        <v>22</v>
      </c>
      <c r="AH68" s="211" t="s">
        <v>22</v>
      </c>
      <c r="AI68" s="211" t="s">
        <v>22</v>
      </c>
      <c r="AJ68" s="211">
        <v>20</v>
      </c>
      <c r="AK68" s="211" t="s">
        <v>22</v>
      </c>
      <c r="AL68" s="211" t="s">
        <v>22</v>
      </c>
      <c r="AM68" s="211" t="s">
        <v>22</v>
      </c>
      <c r="AN68" s="211" t="s">
        <v>22</v>
      </c>
      <c r="AO68" s="211" t="s">
        <v>22</v>
      </c>
      <c r="AP68" s="211" t="s">
        <v>22</v>
      </c>
      <c r="AQ68" s="211" t="s">
        <v>22</v>
      </c>
    </row>
    <row r="69" spans="13:43" x14ac:dyDescent="0.25">
      <c r="M69" s="198">
        <v>44</v>
      </c>
      <c r="N69" s="175">
        <v>32</v>
      </c>
      <c r="O69" s="175" t="s">
        <v>22</v>
      </c>
      <c r="P69" s="175" t="s">
        <v>22</v>
      </c>
      <c r="Q69" s="175" t="s">
        <v>22</v>
      </c>
      <c r="R69" s="175" t="s">
        <v>22</v>
      </c>
      <c r="S69" s="175" t="s">
        <v>22</v>
      </c>
      <c r="T69" s="175">
        <v>23</v>
      </c>
      <c r="U69" s="175">
        <v>24</v>
      </c>
      <c r="V69" s="175" t="s">
        <v>22</v>
      </c>
      <c r="W69" s="175" t="s">
        <v>22</v>
      </c>
      <c r="X69" s="175" t="s">
        <v>22</v>
      </c>
      <c r="Y69" s="175" t="s">
        <v>22</v>
      </c>
      <c r="Z69" s="175" t="s">
        <v>22</v>
      </c>
      <c r="AA69" s="175" t="s">
        <v>22</v>
      </c>
      <c r="AB69" s="175"/>
      <c r="AC69" s="58">
        <v>44</v>
      </c>
      <c r="AD69" s="175">
        <v>21</v>
      </c>
      <c r="AE69" s="176">
        <v>24</v>
      </c>
      <c r="AF69" s="175">
        <v>32</v>
      </c>
      <c r="AG69" s="175" t="s">
        <v>22</v>
      </c>
      <c r="AH69" s="175" t="s">
        <v>22</v>
      </c>
      <c r="AI69" s="175" t="s">
        <v>22</v>
      </c>
      <c r="AJ69" s="175">
        <v>23</v>
      </c>
      <c r="AK69" s="175" t="s">
        <v>22</v>
      </c>
      <c r="AL69" s="175" t="s">
        <v>22</v>
      </c>
      <c r="AM69" s="175" t="s">
        <v>22</v>
      </c>
      <c r="AN69" s="175" t="s">
        <v>22</v>
      </c>
      <c r="AO69" s="175" t="s">
        <v>22</v>
      </c>
      <c r="AP69" s="175" t="s">
        <v>22</v>
      </c>
      <c r="AQ69" s="175" t="s">
        <v>22</v>
      </c>
    </row>
    <row r="70" spans="13:43" x14ac:dyDescent="0.25">
      <c r="M70" s="198">
        <v>48</v>
      </c>
      <c r="N70" s="175">
        <v>28</v>
      </c>
      <c r="O70" s="175" t="s">
        <v>22</v>
      </c>
      <c r="P70" s="175" t="s">
        <v>22</v>
      </c>
      <c r="Q70" s="175" t="s">
        <v>22</v>
      </c>
      <c r="R70" s="175" t="s">
        <v>22</v>
      </c>
      <c r="S70" s="175" t="s">
        <v>22</v>
      </c>
      <c r="T70" s="175">
        <v>18</v>
      </c>
      <c r="U70" s="175">
        <v>20</v>
      </c>
      <c r="V70" s="175">
        <v>23</v>
      </c>
      <c r="W70" s="175">
        <v>24</v>
      </c>
      <c r="X70" s="175">
        <v>25</v>
      </c>
      <c r="Y70" s="175">
        <v>26</v>
      </c>
      <c r="Z70" s="175">
        <v>27</v>
      </c>
      <c r="AA70" s="175">
        <v>34</v>
      </c>
      <c r="AB70" s="175"/>
      <c r="AC70" s="58">
        <v>48</v>
      </c>
      <c r="AD70" s="175" t="s">
        <v>22</v>
      </c>
      <c r="AE70" s="175" t="s">
        <v>22</v>
      </c>
      <c r="AF70" s="175" t="s">
        <v>22</v>
      </c>
      <c r="AG70" s="175" t="s">
        <v>22</v>
      </c>
      <c r="AH70" s="175" t="s">
        <v>22</v>
      </c>
      <c r="AI70" s="175" t="s">
        <v>22</v>
      </c>
      <c r="AJ70" s="175">
        <v>25</v>
      </c>
      <c r="AK70" s="175">
        <v>29</v>
      </c>
      <c r="AL70" s="175" t="s">
        <v>22</v>
      </c>
      <c r="AM70" s="175" t="s">
        <v>22</v>
      </c>
      <c r="AN70" s="175" t="s">
        <v>22</v>
      </c>
      <c r="AO70" s="175" t="s">
        <v>22</v>
      </c>
      <c r="AP70" s="175" t="s">
        <v>22</v>
      </c>
      <c r="AQ70" s="175" t="s">
        <v>22</v>
      </c>
    </row>
    <row r="71" spans="13:43" x14ac:dyDescent="0.25">
      <c r="M71" s="198" t="s">
        <v>26</v>
      </c>
      <c r="N71" s="175">
        <v>30</v>
      </c>
      <c r="O71" s="175">
        <v>31</v>
      </c>
      <c r="P71" s="175">
        <v>32</v>
      </c>
      <c r="Q71" s="175">
        <v>33</v>
      </c>
      <c r="R71" s="175">
        <v>34</v>
      </c>
      <c r="S71" s="175">
        <v>35</v>
      </c>
      <c r="T71" s="175">
        <v>20</v>
      </c>
      <c r="U71" s="175">
        <v>22</v>
      </c>
      <c r="V71" s="175">
        <v>23</v>
      </c>
      <c r="W71" s="175">
        <v>26</v>
      </c>
      <c r="X71" s="175" t="s">
        <v>22</v>
      </c>
      <c r="Y71" s="175" t="s">
        <v>22</v>
      </c>
      <c r="Z71" s="175" t="s">
        <v>22</v>
      </c>
      <c r="AA71" s="175" t="s">
        <v>22</v>
      </c>
      <c r="AB71" s="175"/>
      <c r="AC71" s="197" t="s">
        <v>26</v>
      </c>
      <c r="AD71" s="175">
        <v>30</v>
      </c>
      <c r="AE71" s="175">
        <v>31</v>
      </c>
      <c r="AF71" s="175">
        <v>32</v>
      </c>
      <c r="AG71" s="175" t="s">
        <v>22</v>
      </c>
      <c r="AH71" s="175" t="s">
        <v>22</v>
      </c>
      <c r="AI71" s="175" t="s">
        <v>22</v>
      </c>
      <c r="AJ71" s="175">
        <v>23</v>
      </c>
      <c r="AK71" s="175">
        <v>26</v>
      </c>
      <c r="AL71" s="175" t="s">
        <v>22</v>
      </c>
      <c r="AM71" s="175" t="s">
        <v>22</v>
      </c>
      <c r="AN71" s="202" t="s">
        <v>22</v>
      </c>
      <c r="AO71" s="202" t="s">
        <v>22</v>
      </c>
      <c r="AP71" s="202" t="s">
        <v>22</v>
      </c>
      <c r="AQ71" s="202" t="s">
        <v>22</v>
      </c>
    </row>
    <row r="72" spans="13:43" x14ac:dyDescent="0.25">
      <c r="M72" s="198" t="s">
        <v>27</v>
      </c>
      <c r="N72" s="175">
        <v>33</v>
      </c>
      <c r="O72" s="175">
        <v>38</v>
      </c>
      <c r="P72" s="175">
        <v>39</v>
      </c>
      <c r="Q72" s="175" t="s">
        <v>22</v>
      </c>
      <c r="R72" s="175" t="s">
        <v>22</v>
      </c>
      <c r="S72" s="175" t="s">
        <v>22</v>
      </c>
      <c r="T72" s="175">
        <v>17</v>
      </c>
      <c r="U72" s="175">
        <v>19</v>
      </c>
      <c r="V72" s="175" t="s">
        <v>22</v>
      </c>
      <c r="W72" s="175" t="s">
        <v>22</v>
      </c>
      <c r="X72" s="175" t="s">
        <v>22</v>
      </c>
      <c r="Y72" s="175" t="s">
        <v>22</v>
      </c>
      <c r="Z72" s="175" t="s">
        <v>22</v>
      </c>
      <c r="AA72" s="175" t="s">
        <v>22</v>
      </c>
      <c r="AB72" s="175"/>
      <c r="AC72" s="198" t="s">
        <v>27</v>
      </c>
      <c r="AD72" s="175">
        <v>36</v>
      </c>
      <c r="AE72" s="175">
        <v>38</v>
      </c>
      <c r="AF72" s="175">
        <v>39</v>
      </c>
      <c r="AG72" s="175" t="s">
        <v>22</v>
      </c>
      <c r="AH72" s="175" t="s">
        <v>22</v>
      </c>
      <c r="AI72" s="175" t="s">
        <v>22</v>
      </c>
      <c r="AJ72" s="175">
        <v>17</v>
      </c>
      <c r="AK72" s="175">
        <v>19</v>
      </c>
      <c r="AL72" s="175" t="s">
        <v>22</v>
      </c>
      <c r="AM72" s="175" t="s">
        <v>22</v>
      </c>
      <c r="AN72" s="175" t="s">
        <v>22</v>
      </c>
      <c r="AO72" s="175" t="s">
        <v>22</v>
      </c>
      <c r="AP72" s="175" t="s">
        <v>22</v>
      </c>
      <c r="AQ72" s="175" t="s">
        <v>22</v>
      </c>
    </row>
    <row r="73" spans="13:43" x14ac:dyDescent="0.25">
      <c r="Z73" s="58"/>
      <c r="AA73" s="175"/>
    </row>
    <row r="74" spans="13:43" x14ac:dyDescent="0.25">
      <c r="Z74" s="58"/>
      <c r="AA74" s="175"/>
    </row>
    <row r="75" spans="13:43" x14ac:dyDescent="0.25">
      <c r="M75" t="s">
        <v>82</v>
      </c>
    </row>
    <row r="76" spans="13:43" ht="15.75" thickBot="1" x14ac:dyDescent="0.3">
      <c r="M76" s="207" t="s">
        <v>51</v>
      </c>
      <c r="N76" s="205" t="s">
        <v>43</v>
      </c>
      <c r="O76" s="205" t="s">
        <v>37</v>
      </c>
      <c r="P76" s="205" t="s">
        <v>38</v>
      </c>
      <c r="Q76" s="205" t="s">
        <v>39</v>
      </c>
      <c r="R76" s="205" t="s">
        <v>88</v>
      </c>
      <c r="S76" s="205" t="s">
        <v>120</v>
      </c>
      <c r="T76" s="205" t="s">
        <v>44</v>
      </c>
      <c r="U76" s="205" t="s">
        <v>40</v>
      </c>
      <c r="V76" s="205" t="s">
        <v>41</v>
      </c>
      <c r="W76" s="205" t="s">
        <v>42</v>
      </c>
      <c r="X76" s="205" t="s">
        <v>89</v>
      </c>
      <c r="Y76" s="205" t="s">
        <v>90</v>
      </c>
      <c r="Z76" s="205" t="s">
        <v>95</v>
      </c>
      <c r="AA76" s="205" t="s">
        <v>96</v>
      </c>
    </row>
    <row r="77" spans="13:43" ht="15.75" thickTop="1" x14ac:dyDescent="0.25">
      <c r="M77" s="52">
        <v>1</v>
      </c>
      <c r="N77" s="52" t="s">
        <v>22</v>
      </c>
      <c r="O77" s="52" t="s">
        <v>22</v>
      </c>
      <c r="P77" s="52" t="s">
        <v>22</v>
      </c>
      <c r="Q77" s="52" t="s">
        <v>22</v>
      </c>
      <c r="R77" s="52" t="s">
        <v>22</v>
      </c>
      <c r="S77" s="52" t="s">
        <v>22</v>
      </c>
      <c r="T77" s="52" t="s">
        <v>22</v>
      </c>
      <c r="U77" s="52" t="s">
        <v>22</v>
      </c>
      <c r="V77" s="52" t="s">
        <v>22</v>
      </c>
      <c r="W77" s="52" t="s">
        <v>22</v>
      </c>
      <c r="X77" s="52" t="s">
        <v>22</v>
      </c>
      <c r="Y77" s="52" t="s">
        <v>22</v>
      </c>
      <c r="Z77" s="203" t="s">
        <v>22</v>
      </c>
      <c r="AA77" s="52" t="s">
        <v>22</v>
      </c>
    </row>
    <row r="78" spans="13:43" x14ac:dyDescent="0.25">
      <c r="M78" s="52">
        <v>2</v>
      </c>
      <c r="N78" s="52" t="s">
        <v>22</v>
      </c>
      <c r="O78" s="52" t="s">
        <v>22</v>
      </c>
      <c r="P78" s="52" t="s">
        <v>22</v>
      </c>
      <c r="Q78" s="52" t="s">
        <v>22</v>
      </c>
      <c r="R78" s="52" t="s">
        <v>22</v>
      </c>
      <c r="S78" s="52" t="s">
        <v>22</v>
      </c>
      <c r="T78" s="52" t="s">
        <v>22</v>
      </c>
      <c r="U78" s="52" t="s">
        <v>22</v>
      </c>
      <c r="V78" s="52" t="s">
        <v>22</v>
      </c>
      <c r="W78" s="52" t="s">
        <v>22</v>
      </c>
      <c r="X78" s="52" t="s">
        <v>22</v>
      </c>
      <c r="Y78" s="52" t="s">
        <v>22</v>
      </c>
      <c r="Z78" s="203" t="s">
        <v>22</v>
      </c>
      <c r="AA78" s="52" t="s">
        <v>22</v>
      </c>
    </row>
    <row r="79" spans="13:43" x14ac:dyDescent="0.25">
      <c r="M79" s="52">
        <v>3</v>
      </c>
      <c r="N79" s="52" t="s">
        <v>22</v>
      </c>
      <c r="O79" s="52" t="s">
        <v>22</v>
      </c>
      <c r="P79" s="52" t="s">
        <v>22</v>
      </c>
      <c r="Q79" s="52" t="s">
        <v>22</v>
      </c>
      <c r="R79" s="52" t="s">
        <v>22</v>
      </c>
      <c r="S79" s="52" t="s">
        <v>22</v>
      </c>
      <c r="T79" s="52" t="s">
        <v>22</v>
      </c>
      <c r="U79" s="52" t="s">
        <v>22</v>
      </c>
      <c r="V79" s="52" t="s">
        <v>22</v>
      </c>
      <c r="W79" s="52" t="s">
        <v>22</v>
      </c>
      <c r="X79" s="52" t="s">
        <v>22</v>
      </c>
      <c r="Y79" s="52" t="s">
        <v>22</v>
      </c>
      <c r="Z79" s="203" t="s">
        <v>22</v>
      </c>
      <c r="AA79" s="52" t="s">
        <v>22</v>
      </c>
    </row>
    <row r="80" spans="13:43" x14ac:dyDescent="0.25">
      <c r="M80" s="52">
        <v>4</v>
      </c>
      <c r="N80" s="52" t="s">
        <v>22</v>
      </c>
      <c r="O80" s="52" t="s">
        <v>22</v>
      </c>
      <c r="P80" s="52" t="s">
        <v>22</v>
      </c>
      <c r="Q80" s="52" t="s">
        <v>22</v>
      </c>
      <c r="R80" s="52" t="s">
        <v>22</v>
      </c>
      <c r="S80" s="52" t="s">
        <v>22</v>
      </c>
      <c r="T80" s="52" t="s">
        <v>22</v>
      </c>
      <c r="U80" s="52" t="s">
        <v>22</v>
      </c>
      <c r="V80" s="52" t="s">
        <v>22</v>
      </c>
      <c r="W80" s="52" t="s">
        <v>22</v>
      </c>
      <c r="X80" s="52" t="s">
        <v>22</v>
      </c>
      <c r="Y80" s="52" t="s">
        <v>22</v>
      </c>
      <c r="Z80" s="203" t="s">
        <v>22</v>
      </c>
      <c r="AA80" s="52" t="s">
        <v>22</v>
      </c>
    </row>
    <row r="81" spans="13:27" x14ac:dyDescent="0.25">
      <c r="M81" s="52">
        <v>5</v>
      </c>
      <c r="N81" s="52" t="s">
        <v>22</v>
      </c>
      <c r="O81" s="52" t="s">
        <v>22</v>
      </c>
      <c r="P81" s="52" t="s">
        <v>22</v>
      </c>
      <c r="Q81" s="52" t="s">
        <v>22</v>
      </c>
      <c r="R81" s="52" t="s">
        <v>22</v>
      </c>
      <c r="S81" s="52" t="s">
        <v>22</v>
      </c>
      <c r="T81" s="52" t="s">
        <v>22</v>
      </c>
      <c r="U81" s="52" t="s">
        <v>22</v>
      </c>
      <c r="V81" s="52" t="s">
        <v>22</v>
      </c>
      <c r="W81" s="52" t="s">
        <v>22</v>
      </c>
      <c r="X81" s="52" t="s">
        <v>22</v>
      </c>
      <c r="Y81" s="52" t="s">
        <v>22</v>
      </c>
      <c r="Z81" s="203" t="s">
        <v>22</v>
      </c>
      <c r="AA81" s="52" t="s">
        <v>22</v>
      </c>
    </row>
    <row r="82" spans="13:27" x14ac:dyDescent="0.25">
      <c r="M82" s="52">
        <v>6</v>
      </c>
      <c r="N82" s="52" t="s">
        <v>22</v>
      </c>
      <c r="O82" s="52" t="s">
        <v>22</v>
      </c>
      <c r="P82" s="52" t="s">
        <v>22</v>
      </c>
      <c r="Q82" s="52" t="s">
        <v>22</v>
      </c>
      <c r="R82" s="52" t="s">
        <v>22</v>
      </c>
      <c r="S82" s="52" t="s">
        <v>22</v>
      </c>
      <c r="T82" s="52" t="s">
        <v>22</v>
      </c>
      <c r="U82" s="52" t="s">
        <v>22</v>
      </c>
      <c r="V82" s="52" t="s">
        <v>22</v>
      </c>
      <c r="W82" s="52" t="s">
        <v>22</v>
      </c>
      <c r="X82" s="52" t="s">
        <v>22</v>
      </c>
      <c r="Y82" s="52" t="s">
        <v>22</v>
      </c>
      <c r="Z82" s="203" t="s">
        <v>22</v>
      </c>
      <c r="AA82" s="52" t="s">
        <v>22</v>
      </c>
    </row>
    <row r="83" spans="13:27" x14ac:dyDescent="0.25">
      <c r="M83" s="52">
        <v>7</v>
      </c>
      <c r="N83" s="52" t="s">
        <v>22</v>
      </c>
      <c r="O83" s="52" t="s">
        <v>22</v>
      </c>
      <c r="P83" s="52" t="s">
        <v>22</v>
      </c>
      <c r="Q83" s="52" t="s">
        <v>22</v>
      </c>
      <c r="R83" s="52" t="s">
        <v>22</v>
      </c>
      <c r="S83" s="52" t="s">
        <v>22</v>
      </c>
      <c r="T83" s="52" t="s">
        <v>22</v>
      </c>
      <c r="U83" s="52" t="s">
        <v>22</v>
      </c>
      <c r="V83" s="52" t="s">
        <v>22</v>
      </c>
      <c r="W83" s="52" t="s">
        <v>22</v>
      </c>
      <c r="X83" s="52" t="s">
        <v>22</v>
      </c>
      <c r="Y83" s="52" t="s">
        <v>22</v>
      </c>
      <c r="Z83" s="203" t="s">
        <v>22</v>
      </c>
      <c r="AA83" s="52" t="s">
        <v>22</v>
      </c>
    </row>
    <row r="84" spans="13:27" x14ac:dyDescent="0.25">
      <c r="M84" s="52">
        <v>8</v>
      </c>
      <c r="N84" s="52" t="s">
        <v>22</v>
      </c>
      <c r="O84" s="52" t="s">
        <v>22</v>
      </c>
      <c r="P84" s="52" t="s">
        <v>22</v>
      </c>
      <c r="Q84" s="52" t="s">
        <v>22</v>
      </c>
      <c r="R84" s="52" t="s">
        <v>22</v>
      </c>
      <c r="S84" s="52" t="s">
        <v>22</v>
      </c>
      <c r="T84" s="52" t="s">
        <v>22</v>
      </c>
      <c r="U84" s="52" t="s">
        <v>22</v>
      </c>
      <c r="V84" s="52" t="s">
        <v>22</v>
      </c>
      <c r="W84" s="52" t="s">
        <v>22</v>
      </c>
      <c r="X84" s="52" t="s">
        <v>22</v>
      </c>
      <c r="Y84" s="52" t="s">
        <v>22</v>
      </c>
      <c r="Z84" s="203" t="s">
        <v>22</v>
      </c>
      <c r="AA84" s="52" t="s">
        <v>22</v>
      </c>
    </row>
    <row r="85" spans="13:27" x14ac:dyDescent="0.25">
      <c r="M85" s="52">
        <v>9</v>
      </c>
      <c r="N85" s="52" t="s">
        <v>22</v>
      </c>
      <c r="O85" s="52" t="s">
        <v>22</v>
      </c>
      <c r="P85" s="52" t="s">
        <v>22</v>
      </c>
      <c r="Q85" s="52" t="s">
        <v>22</v>
      </c>
      <c r="R85" s="52" t="s">
        <v>22</v>
      </c>
      <c r="S85" s="52" t="s">
        <v>22</v>
      </c>
      <c r="T85" s="52" t="s">
        <v>22</v>
      </c>
      <c r="U85" s="52" t="s">
        <v>22</v>
      </c>
      <c r="V85" s="52" t="s">
        <v>22</v>
      </c>
      <c r="W85" s="52" t="s">
        <v>22</v>
      </c>
      <c r="X85" s="52" t="s">
        <v>22</v>
      </c>
      <c r="Y85" s="52" t="s">
        <v>22</v>
      </c>
      <c r="Z85" s="203" t="s">
        <v>22</v>
      </c>
      <c r="AA85" s="52" t="s">
        <v>22</v>
      </c>
    </row>
    <row r="86" spans="13:27" x14ac:dyDescent="0.25">
      <c r="M86" s="52">
        <v>10</v>
      </c>
      <c r="N86" s="52">
        <v>1</v>
      </c>
      <c r="O86" s="52">
        <v>3</v>
      </c>
      <c r="P86" s="52" t="s">
        <v>22</v>
      </c>
      <c r="Q86" s="52" t="s">
        <v>22</v>
      </c>
      <c r="R86" s="52" t="s">
        <v>22</v>
      </c>
      <c r="S86" s="52" t="s">
        <v>22</v>
      </c>
      <c r="T86" s="52" t="s">
        <v>22</v>
      </c>
      <c r="U86" s="52" t="s">
        <v>22</v>
      </c>
      <c r="V86" s="52" t="s">
        <v>22</v>
      </c>
      <c r="W86" s="52" t="s">
        <v>22</v>
      </c>
      <c r="X86" s="52" t="s">
        <v>22</v>
      </c>
      <c r="Y86" s="52" t="s">
        <v>22</v>
      </c>
      <c r="Z86" s="203" t="s">
        <v>22</v>
      </c>
      <c r="AA86" s="52" t="s">
        <v>22</v>
      </c>
    </row>
    <row r="87" spans="13:27" x14ac:dyDescent="0.25">
      <c r="M87" s="52">
        <v>12</v>
      </c>
      <c r="N87" s="52">
        <v>1</v>
      </c>
      <c r="O87" s="52">
        <v>2</v>
      </c>
      <c r="P87" s="52" t="s">
        <v>22</v>
      </c>
      <c r="Q87" s="52" t="s">
        <v>22</v>
      </c>
      <c r="R87" s="52" t="s">
        <v>22</v>
      </c>
      <c r="S87" s="52" t="s">
        <v>22</v>
      </c>
      <c r="T87" s="52" t="s">
        <v>22</v>
      </c>
      <c r="U87" s="52" t="s">
        <v>22</v>
      </c>
      <c r="V87" s="52" t="s">
        <v>22</v>
      </c>
      <c r="W87" s="52" t="s">
        <v>22</v>
      </c>
      <c r="X87" s="52" t="s">
        <v>22</v>
      </c>
      <c r="Y87" s="52" t="s">
        <v>22</v>
      </c>
      <c r="Z87" s="203" t="s">
        <v>22</v>
      </c>
      <c r="AA87" s="52" t="s">
        <v>22</v>
      </c>
    </row>
    <row r="88" spans="13:27" x14ac:dyDescent="0.25">
      <c r="M88" s="52">
        <v>13</v>
      </c>
      <c r="N88" s="52">
        <v>1</v>
      </c>
      <c r="O88" s="52">
        <v>4</v>
      </c>
      <c r="P88" s="52" t="s">
        <v>22</v>
      </c>
      <c r="Q88" s="52" t="s">
        <v>22</v>
      </c>
      <c r="R88" s="52" t="s">
        <v>22</v>
      </c>
      <c r="S88" s="52" t="s">
        <v>22</v>
      </c>
      <c r="T88" s="52" t="s">
        <v>22</v>
      </c>
      <c r="U88" s="52" t="s">
        <v>22</v>
      </c>
      <c r="V88" s="52" t="s">
        <v>22</v>
      </c>
      <c r="W88" s="52" t="s">
        <v>22</v>
      </c>
      <c r="X88" s="52" t="s">
        <v>22</v>
      </c>
      <c r="Y88" s="52" t="s">
        <v>22</v>
      </c>
      <c r="Z88" s="203" t="s">
        <v>22</v>
      </c>
      <c r="AA88" s="52" t="s">
        <v>22</v>
      </c>
    </row>
    <row r="89" spans="13:27" x14ac:dyDescent="0.25">
      <c r="M89" s="52">
        <v>14</v>
      </c>
      <c r="N89" s="52">
        <v>4</v>
      </c>
      <c r="O89" s="52" t="s">
        <v>22</v>
      </c>
      <c r="P89" s="52" t="s">
        <v>22</v>
      </c>
      <c r="Q89" s="52" t="s">
        <v>22</v>
      </c>
      <c r="R89" s="52" t="s">
        <v>22</v>
      </c>
      <c r="S89" s="52" t="s">
        <v>22</v>
      </c>
      <c r="T89" s="52" t="s">
        <v>22</v>
      </c>
      <c r="U89" s="52" t="s">
        <v>22</v>
      </c>
      <c r="V89" s="52" t="s">
        <v>22</v>
      </c>
      <c r="W89" s="52" t="s">
        <v>22</v>
      </c>
      <c r="X89" s="52" t="s">
        <v>22</v>
      </c>
      <c r="Y89" s="52" t="s">
        <v>22</v>
      </c>
      <c r="Z89" s="203" t="s">
        <v>22</v>
      </c>
      <c r="AA89" s="52" t="s">
        <v>22</v>
      </c>
    </row>
    <row r="90" spans="13:27" x14ac:dyDescent="0.25">
      <c r="M90" s="52">
        <v>16</v>
      </c>
      <c r="N90" s="52">
        <v>4</v>
      </c>
      <c r="O90" s="52" t="s">
        <v>22</v>
      </c>
      <c r="P90" s="52" t="s">
        <v>22</v>
      </c>
      <c r="Q90" s="52" t="s">
        <v>22</v>
      </c>
      <c r="R90" s="52" t="s">
        <v>22</v>
      </c>
      <c r="S90" s="52" t="s">
        <v>22</v>
      </c>
      <c r="T90" s="52" t="s">
        <v>22</v>
      </c>
      <c r="U90" s="52" t="s">
        <v>22</v>
      </c>
      <c r="V90" s="52" t="s">
        <v>22</v>
      </c>
      <c r="W90" s="52" t="s">
        <v>22</v>
      </c>
      <c r="X90" s="52" t="s">
        <v>22</v>
      </c>
      <c r="Y90" s="52" t="s">
        <v>22</v>
      </c>
      <c r="Z90" s="203" t="s">
        <v>22</v>
      </c>
      <c r="AA90" s="52" t="s">
        <v>22</v>
      </c>
    </row>
    <row r="91" spans="13:27" x14ac:dyDescent="0.25">
      <c r="M91" s="52">
        <v>17</v>
      </c>
      <c r="N91" s="52">
        <v>1</v>
      </c>
      <c r="O91" s="52">
        <v>2</v>
      </c>
      <c r="P91" s="52" t="s">
        <v>22</v>
      </c>
      <c r="Q91" s="52" t="s">
        <v>22</v>
      </c>
      <c r="R91" s="52" t="s">
        <v>22</v>
      </c>
      <c r="S91" s="52" t="s">
        <v>22</v>
      </c>
      <c r="T91" s="52" t="s">
        <v>22</v>
      </c>
      <c r="U91" s="52" t="s">
        <v>22</v>
      </c>
      <c r="V91" s="52" t="s">
        <v>22</v>
      </c>
      <c r="W91" s="52" t="s">
        <v>22</v>
      </c>
      <c r="X91" s="52" t="s">
        <v>22</v>
      </c>
      <c r="Y91" s="52" t="s">
        <v>22</v>
      </c>
      <c r="Z91" s="203" t="s">
        <v>22</v>
      </c>
      <c r="AA91" s="52" t="s">
        <v>22</v>
      </c>
    </row>
    <row r="92" spans="13:27" x14ac:dyDescent="0.25">
      <c r="M92" s="52">
        <v>18</v>
      </c>
      <c r="N92" s="52" t="s">
        <v>22</v>
      </c>
      <c r="O92" s="52" t="s">
        <v>22</v>
      </c>
      <c r="P92" s="52" t="s">
        <v>22</v>
      </c>
      <c r="Q92" s="52" t="s">
        <v>22</v>
      </c>
      <c r="R92" s="52" t="s">
        <v>22</v>
      </c>
      <c r="S92" s="52" t="s">
        <v>22</v>
      </c>
      <c r="T92" s="52">
        <v>9</v>
      </c>
      <c r="U92" s="52" t="s">
        <v>22</v>
      </c>
      <c r="V92" s="52" t="s">
        <v>22</v>
      </c>
      <c r="W92" s="52" t="s">
        <v>22</v>
      </c>
      <c r="X92" s="52" t="s">
        <v>22</v>
      </c>
      <c r="Y92" s="52" t="s">
        <v>22</v>
      </c>
      <c r="Z92" s="203" t="s">
        <v>22</v>
      </c>
      <c r="AA92" s="52" t="s">
        <v>22</v>
      </c>
    </row>
    <row r="93" spans="13:27" x14ac:dyDescent="0.25">
      <c r="M93" s="52">
        <v>23</v>
      </c>
      <c r="N93" s="52">
        <v>13</v>
      </c>
      <c r="O93" s="52">
        <v>14</v>
      </c>
      <c r="P93" s="52" t="s">
        <v>22</v>
      </c>
      <c r="Q93" s="52" t="s">
        <v>22</v>
      </c>
      <c r="R93" s="52" t="s">
        <v>22</v>
      </c>
      <c r="S93" s="52" t="s">
        <v>22</v>
      </c>
      <c r="T93" s="52">
        <v>1</v>
      </c>
      <c r="U93" s="52">
        <v>4</v>
      </c>
      <c r="V93" s="52" t="s">
        <v>22</v>
      </c>
      <c r="W93" s="52" t="s">
        <v>22</v>
      </c>
      <c r="X93" s="52" t="s">
        <v>22</v>
      </c>
      <c r="Y93" s="52" t="s">
        <v>22</v>
      </c>
      <c r="Z93" s="203" t="s">
        <v>22</v>
      </c>
      <c r="AA93" s="52" t="s">
        <v>22</v>
      </c>
    </row>
    <row r="94" spans="13:27" x14ac:dyDescent="0.25">
      <c r="M94" s="52">
        <v>24</v>
      </c>
      <c r="N94" s="52">
        <v>13</v>
      </c>
      <c r="O94" s="52" t="s">
        <v>22</v>
      </c>
      <c r="P94" s="52" t="s">
        <v>22</v>
      </c>
      <c r="Q94" s="52" t="s">
        <v>22</v>
      </c>
      <c r="R94" s="52" t="s">
        <v>22</v>
      </c>
      <c r="S94" s="52" t="s">
        <v>22</v>
      </c>
      <c r="T94" s="52">
        <v>1</v>
      </c>
      <c r="U94" s="52">
        <v>4</v>
      </c>
      <c r="V94" s="52" t="s">
        <v>22</v>
      </c>
      <c r="W94" s="52" t="s">
        <v>22</v>
      </c>
      <c r="X94" s="52" t="s">
        <v>22</v>
      </c>
      <c r="Y94" s="52" t="s">
        <v>22</v>
      </c>
      <c r="Z94" s="203" t="s">
        <v>22</v>
      </c>
      <c r="AA94" s="52" t="s">
        <v>22</v>
      </c>
    </row>
    <row r="95" spans="13:27" x14ac:dyDescent="0.25">
      <c r="M95" s="52">
        <v>25</v>
      </c>
      <c r="N95" s="52">
        <v>11</v>
      </c>
      <c r="O95" s="52">
        <v>14</v>
      </c>
      <c r="P95" s="52" t="s">
        <v>22</v>
      </c>
      <c r="Q95" s="52" t="s">
        <v>22</v>
      </c>
      <c r="R95" s="52" t="s">
        <v>22</v>
      </c>
      <c r="S95" s="52" t="s">
        <v>22</v>
      </c>
      <c r="T95" s="52">
        <v>4</v>
      </c>
      <c r="U95" s="52">
        <v>5</v>
      </c>
      <c r="V95" s="52" t="s">
        <v>22</v>
      </c>
      <c r="W95" s="52" t="s">
        <v>22</v>
      </c>
      <c r="X95" s="52" t="s">
        <v>22</v>
      </c>
      <c r="Y95" s="52" t="s">
        <v>22</v>
      </c>
      <c r="Z95" s="203" t="s">
        <v>22</v>
      </c>
      <c r="AA95" s="52" t="s">
        <v>22</v>
      </c>
    </row>
    <row r="96" spans="13:27" x14ac:dyDescent="0.25">
      <c r="M96" s="52">
        <v>28</v>
      </c>
      <c r="N96" s="52">
        <v>10</v>
      </c>
      <c r="O96" s="52">
        <v>15</v>
      </c>
      <c r="P96" s="52" t="s">
        <v>22</v>
      </c>
      <c r="Q96" s="52" t="s">
        <v>22</v>
      </c>
      <c r="R96" s="52" t="s">
        <v>22</v>
      </c>
      <c r="S96" s="52" t="s">
        <v>22</v>
      </c>
      <c r="T96" s="52">
        <v>4</v>
      </c>
      <c r="U96" s="52" t="s">
        <v>22</v>
      </c>
      <c r="V96" s="52" t="s">
        <v>22</v>
      </c>
      <c r="W96" s="52" t="s">
        <v>22</v>
      </c>
      <c r="X96" s="52" t="s">
        <v>22</v>
      </c>
      <c r="Y96" s="52" t="s">
        <v>22</v>
      </c>
      <c r="Z96" s="203" t="s">
        <v>22</v>
      </c>
      <c r="AA96" s="52" t="s">
        <v>22</v>
      </c>
    </row>
    <row r="97" spans="13:27" x14ac:dyDescent="0.25">
      <c r="M97" s="52">
        <v>29</v>
      </c>
      <c r="N97" s="52">
        <v>7</v>
      </c>
      <c r="O97" s="52">
        <v>11</v>
      </c>
      <c r="P97" s="52">
        <v>14</v>
      </c>
      <c r="Q97" s="52">
        <v>15</v>
      </c>
      <c r="R97" s="52" t="s">
        <v>22</v>
      </c>
      <c r="S97" s="52" t="s">
        <v>22</v>
      </c>
      <c r="T97" s="52">
        <v>5</v>
      </c>
      <c r="U97" s="52" t="s">
        <v>22</v>
      </c>
      <c r="V97" s="52" t="s">
        <v>22</v>
      </c>
      <c r="W97" s="52" t="s">
        <v>22</v>
      </c>
      <c r="X97" s="52" t="s">
        <v>22</v>
      </c>
      <c r="Y97" s="52" t="s">
        <v>22</v>
      </c>
      <c r="Z97" s="203" t="s">
        <v>22</v>
      </c>
      <c r="AA97" s="52" t="s">
        <v>22</v>
      </c>
    </row>
    <row r="98" spans="13:27" x14ac:dyDescent="0.25">
      <c r="M98" s="52">
        <v>33</v>
      </c>
      <c r="N98" s="52">
        <v>23</v>
      </c>
      <c r="O98" s="52">
        <v>26</v>
      </c>
      <c r="P98" s="52">
        <v>27</v>
      </c>
      <c r="Q98" s="52" t="s">
        <v>22</v>
      </c>
      <c r="R98" s="52" t="s">
        <v>22</v>
      </c>
      <c r="S98" s="52" t="s">
        <v>22</v>
      </c>
      <c r="T98" s="52">
        <v>10</v>
      </c>
      <c r="U98" s="52">
        <v>13</v>
      </c>
      <c r="V98" s="52">
        <v>14</v>
      </c>
      <c r="W98" s="52" t="s">
        <v>22</v>
      </c>
      <c r="X98" s="52" t="s">
        <v>22</v>
      </c>
      <c r="Y98" s="52" t="s">
        <v>22</v>
      </c>
      <c r="Z98" s="203" t="s">
        <v>22</v>
      </c>
      <c r="AA98" s="52" t="s">
        <v>22</v>
      </c>
    </row>
    <row r="99" spans="13:27" x14ac:dyDescent="0.25">
      <c r="M99" s="52">
        <v>34</v>
      </c>
      <c r="N99" s="52">
        <v>16</v>
      </c>
      <c r="O99" s="52">
        <v>25</v>
      </c>
      <c r="P99" s="52" t="s">
        <v>22</v>
      </c>
      <c r="Q99" s="52" t="s">
        <v>22</v>
      </c>
      <c r="R99" s="52" t="s">
        <v>22</v>
      </c>
      <c r="S99" s="52" t="s">
        <v>22</v>
      </c>
      <c r="T99" s="52">
        <v>11</v>
      </c>
      <c r="U99" s="52">
        <v>13</v>
      </c>
      <c r="V99" s="52" t="s">
        <v>22</v>
      </c>
      <c r="W99" s="52" t="s">
        <v>22</v>
      </c>
      <c r="X99" s="52" t="s">
        <v>22</v>
      </c>
      <c r="Y99" s="52" t="s">
        <v>22</v>
      </c>
      <c r="Z99" s="203" t="s">
        <v>22</v>
      </c>
      <c r="AA99" s="52" t="s">
        <v>22</v>
      </c>
    </row>
    <row r="100" spans="13:27" x14ac:dyDescent="0.25">
      <c r="M100" s="52">
        <v>36</v>
      </c>
      <c r="N100" s="52">
        <v>17</v>
      </c>
      <c r="O100" s="52">
        <v>18</v>
      </c>
      <c r="P100" s="52">
        <v>29</v>
      </c>
      <c r="Q100" s="52" t="s">
        <v>22</v>
      </c>
      <c r="R100" s="52" t="s">
        <v>22</v>
      </c>
      <c r="S100" s="52" t="s">
        <v>22</v>
      </c>
      <c r="T100" s="52">
        <v>19</v>
      </c>
      <c r="U100" s="52" t="s">
        <v>22</v>
      </c>
      <c r="V100" s="52" t="s">
        <v>22</v>
      </c>
      <c r="W100" s="52" t="s">
        <v>22</v>
      </c>
      <c r="X100" s="52" t="s">
        <v>22</v>
      </c>
      <c r="Y100" s="52" t="s">
        <v>22</v>
      </c>
      <c r="Z100" s="203" t="s">
        <v>22</v>
      </c>
      <c r="AA100" s="52" t="s">
        <v>22</v>
      </c>
    </row>
    <row r="101" spans="13:27" x14ac:dyDescent="0.25">
      <c r="M101" s="52">
        <v>38</v>
      </c>
      <c r="N101" s="52" t="s">
        <v>22</v>
      </c>
      <c r="O101" s="52" t="s">
        <v>22</v>
      </c>
      <c r="P101" s="52" t="s">
        <v>22</v>
      </c>
      <c r="Q101" s="52" t="s">
        <v>22</v>
      </c>
      <c r="R101" s="52" t="s">
        <v>22</v>
      </c>
      <c r="S101" s="52" t="s">
        <v>22</v>
      </c>
      <c r="T101" s="52">
        <v>6</v>
      </c>
      <c r="U101" s="52" t="s">
        <v>22</v>
      </c>
      <c r="V101" s="52" t="s">
        <v>22</v>
      </c>
      <c r="W101" s="52" t="s">
        <v>22</v>
      </c>
      <c r="X101" s="52" t="s">
        <v>22</v>
      </c>
      <c r="Y101" s="52" t="s">
        <v>22</v>
      </c>
      <c r="Z101" s="203" t="s">
        <v>22</v>
      </c>
      <c r="AA101" s="52" t="s">
        <v>22</v>
      </c>
    </row>
    <row r="102" spans="13:27" x14ac:dyDescent="0.25">
      <c r="M102" s="52">
        <v>39</v>
      </c>
      <c r="N102" s="52" t="s">
        <v>22</v>
      </c>
      <c r="O102" s="52" t="s">
        <v>22</v>
      </c>
      <c r="P102" s="52" t="s">
        <v>22</v>
      </c>
      <c r="Q102" s="52" t="s">
        <v>22</v>
      </c>
      <c r="R102" s="52" t="s">
        <v>22</v>
      </c>
      <c r="S102" s="52" t="s">
        <v>22</v>
      </c>
      <c r="T102" s="52">
        <v>6</v>
      </c>
      <c r="U102" s="52" t="s">
        <v>22</v>
      </c>
      <c r="V102" s="52" t="s">
        <v>22</v>
      </c>
      <c r="W102" s="52" t="s">
        <v>22</v>
      </c>
      <c r="X102" s="52" t="s">
        <v>22</v>
      </c>
      <c r="Y102" s="52" t="s">
        <v>22</v>
      </c>
      <c r="Z102" s="203" t="s">
        <v>22</v>
      </c>
      <c r="AA102" s="52" t="s">
        <v>22</v>
      </c>
    </row>
    <row r="103" spans="13:27" x14ac:dyDescent="0.25">
      <c r="M103" s="52">
        <v>42</v>
      </c>
      <c r="N103" s="52">
        <v>30</v>
      </c>
      <c r="O103" s="52">
        <v>34</v>
      </c>
      <c r="P103" s="52">
        <v>35</v>
      </c>
      <c r="Q103" s="52" t="s">
        <v>22</v>
      </c>
      <c r="R103" s="52" t="s">
        <v>22</v>
      </c>
      <c r="S103" s="52" t="s">
        <v>22</v>
      </c>
      <c r="T103" s="52">
        <v>20</v>
      </c>
      <c r="U103" s="52" t="s">
        <v>22</v>
      </c>
      <c r="V103" s="52" t="s">
        <v>22</v>
      </c>
      <c r="W103" s="52" t="s">
        <v>22</v>
      </c>
      <c r="X103" s="52" t="s">
        <v>22</v>
      </c>
      <c r="Y103" s="52" t="s">
        <v>22</v>
      </c>
      <c r="Z103" s="203" t="s">
        <v>22</v>
      </c>
      <c r="AA103" s="52" t="s">
        <v>22</v>
      </c>
    </row>
    <row r="104" spans="13:27" x14ac:dyDescent="0.25">
      <c r="M104" s="52">
        <v>45</v>
      </c>
      <c r="N104" s="52">
        <v>37</v>
      </c>
      <c r="O104" s="52" t="s">
        <v>22</v>
      </c>
      <c r="P104" s="52" t="s">
        <v>22</v>
      </c>
      <c r="Q104" s="52" t="s">
        <v>22</v>
      </c>
      <c r="R104" s="52" t="s">
        <v>22</v>
      </c>
      <c r="S104" s="52" t="s">
        <v>22</v>
      </c>
      <c r="T104" s="52">
        <v>21</v>
      </c>
      <c r="U104" s="52" t="s">
        <v>22</v>
      </c>
      <c r="V104" s="52" t="s">
        <v>22</v>
      </c>
      <c r="W104" s="52" t="s">
        <v>22</v>
      </c>
      <c r="X104" s="52" t="s">
        <v>22</v>
      </c>
      <c r="Y104" s="52" t="s">
        <v>22</v>
      </c>
      <c r="Z104" s="203" t="s">
        <v>22</v>
      </c>
      <c r="AA104" s="52" t="s">
        <v>22</v>
      </c>
    </row>
    <row r="105" spans="13:27" x14ac:dyDescent="0.25">
      <c r="M105" s="52">
        <v>46</v>
      </c>
      <c r="N105" s="52">
        <v>30</v>
      </c>
      <c r="O105" s="52">
        <v>33</v>
      </c>
      <c r="P105" s="52">
        <v>35</v>
      </c>
      <c r="Q105" s="52" t="s">
        <v>22</v>
      </c>
      <c r="R105" s="52" t="s">
        <v>22</v>
      </c>
      <c r="S105" s="52" t="s">
        <v>22</v>
      </c>
      <c r="T105" s="52">
        <v>29</v>
      </c>
      <c r="U105" s="52" t="s">
        <v>22</v>
      </c>
      <c r="V105" s="52" t="s">
        <v>22</v>
      </c>
      <c r="W105" s="52" t="s">
        <v>22</v>
      </c>
      <c r="X105" s="52" t="s">
        <v>22</v>
      </c>
      <c r="Y105" s="52" t="s">
        <v>22</v>
      </c>
      <c r="Z105" s="203" t="s">
        <v>22</v>
      </c>
      <c r="AA105" s="52" t="s">
        <v>22</v>
      </c>
    </row>
    <row r="106" spans="13:27" x14ac:dyDescent="0.25">
      <c r="M106" s="52">
        <v>47</v>
      </c>
      <c r="N106" s="52">
        <v>36</v>
      </c>
      <c r="O106" s="52">
        <v>38</v>
      </c>
      <c r="P106" s="52">
        <v>39</v>
      </c>
      <c r="Q106" s="52" t="s">
        <v>22</v>
      </c>
      <c r="R106" s="52" t="s">
        <v>22</v>
      </c>
      <c r="S106" s="52" t="s">
        <v>22</v>
      </c>
      <c r="T106" s="52">
        <v>25</v>
      </c>
      <c r="U106" s="52" t="s">
        <v>22</v>
      </c>
      <c r="V106" s="52" t="s">
        <v>22</v>
      </c>
      <c r="W106" s="52" t="s">
        <v>22</v>
      </c>
      <c r="X106" s="52" t="s">
        <v>22</v>
      </c>
      <c r="Y106" s="52" t="s">
        <v>22</v>
      </c>
      <c r="Z106" s="203" t="s">
        <v>22</v>
      </c>
      <c r="AA106" s="52" t="s">
        <v>22</v>
      </c>
    </row>
    <row r="108" spans="13:27" x14ac:dyDescent="0.25">
      <c r="M108" s="45" t="s">
        <v>61</v>
      </c>
    </row>
    <row r="109" spans="13:27" x14ac:dyDescent="0.25">
      <c r="M109" s="46" t="str" cm="1">
        <f t="array" ref="M109:M158">_xlfn._xlws.SORT(_xlfn._xlws.FILTER(Tabla1[Materia],Tabla1[HALLAR]))</f>
        <v>Álgebra y Geometría Analítica</v>
      </c>
    </row>
    <row r="110" spans="13:27" x14ac:dyDescent="0.25">
      <c r="M110" t="str">
        <v>Análisis Matemático 1</v>
      </c>
    </row>
    <row r="111" spans="13:27" x14ac:dyDescent="0.25">
      <c r="M111" t="str">
        <v>Análisis Matemático 2</v>
      </c>
    </row>
    <row r="112" spans="13:27" x14ac:dyDescent="0.25">
      <c r="M112" t="str">
        <v>Avances en Metalurgia y Nuevos Materiales</v>
      </c>
    </row>
    <row r="113" spans="13:13" x14ac:dyDescent="0.25">
      <c r="M113" t="str">
        <v>Cálculo y Modelización Numérica</v>
      </c>
    </row>
    <row r="114" spans="13:13" x14ac:dyDescent="0.25">
      <c r="M114" t="str">
        <v>Ciencia de los Materiales</v>
      </c>
    </row>
    <row r="115" spans="13:13" x14ac:dyDescent="0.25">
      <c r="M115" t="str">
        <v>Degradación, Corrosión y Protección de Materiales</v>
      </c>
    </row>
    <row r="116" spans="13:13" x14ac:dyDescent="0.25">
      <c r="M116" t="str">
        <v>Economía</v>
      </c>
    </row>
    <row r="117" spans="13:13" x14ac:dyDescent="0.25">
      <c r="M117" t="str">
        <v>Electrotecnia y sistemas de control en plantas industriales</v>
      </c>
    </row>
    <row r="118" spans="13:13" x14ac:dyDescent="0.25">
      <c r="M118" t="str">
        <v>Ensayo de Materiales</v>
      </c>
    </row>
    <row r="119" spans="13:13" x14ac:dyDescent="0.25">
      <c r="M119" t="str">
        <v>Estabilidad y Resistencia de los Materiales</v>
      </c>
    </row>
    <row r="120" spans="13:13" x14ac:dyDescent="0.25">
      <c r="M120" t="str">
        <v>Física 1</v>
      </c>
    </row>
    <row r="121" spans="13:13" x14ac:dyDescent="0.25">
      <c r="M121" t="str">
        <v>Física 2</v>
      </c>
    </row>
    <row r="122" spans="13:13" x14ac:dyDescent="0.25">
      <c r="M122" t="str">
        <v>Fisicoquímica Metalúrgica</v>
      </c>
    </row>
    <row r="123" spans="13:13" x14ac:dyDescent="0.25">
      <c r="M123" t="str">
        <v>Fundamentos de Informática</v>
      </c>
    </row>
    <row r="124" spans="13:13" x14ac:dyDescent="0.25">
      <c r="M124" t="str">
        <v>Fundición de los Metales Ferrosos y No Ferrosos</v>
      </c>
    </row>
    <row r="125" spans="13:13" x14ac:dyDescent="0.25">
      <c r="M125" t="str">
        <v>Gestión y Organización Empresarial</v>
      </c>
    </row>
    <row r="126" spans="13:13" x14ac:dyDescent="0.25">
      <c r="M126" t="str">
        <v>Higiene y seguridad e ingeniería ambiental</v>
      </c>
    </row>
    <row r="127" spans="13:13" x14ac:dyDescent="0.25">
      <c r="M127" t="str">
        <v>Ingeniería de los Procesos 1</v>
      </c>
    </row>
    <row r="128" spans="13:13" x14ac:dyDescent="0.25">
      <c r="M128" t="str">
        <v>Ingeniería de los Procesos 2</v>
      </c>
    </row>
    <row r="129" spans="13:13" x14ac:dyDescent="0.25">
      <c r="M129" t="str">
        <v>Ingeniería Gerencial</v>
      </c>
    </row>
    <row r="130" spans="13:13" x14ac:dyDescent="0.25">
      <c r="M130" t="str">
        <v>Ingeniería y Sociedad</v>
      </c>
    </row>
    <row r="131" spans="13:13" x14ac:dyDescent="0.25">
      <c r="M131" t="str">
        <v>Inglés 1</v>
      </c>
    </row>
    <row r="132" spans="13:13" x14ac:dyDescent="0.25">
      <c r="M132" t="str">
        <v>Inglés 2</v>
      </c>
    </row>
    <row r="133" spans="13:13" x14ac:dyDescent="0.25">
      <c r="M133" t="str">
        <v>Instalaciones Térmicas Metalúrgicas</v>
      </c>
    </row>
    <row r="134" spans="13:13" x14ac:dyDescent="0.25">
      <c r="M134" t="str">
        <v>Legislación</v>
      </c>
    </row>
    <row r="135" spans="13:13" x14ac:dyDescent="0.25">
      <c r="M135" t="str">
        <v>Mecánica de los Fluidos</v>
      </c>
    </row>
    <row r="136" spans="13:13" x14ac:dyDescent="0.25">
      <c r="M136" t="str">
        <v>Metalografía y Tratamiento Térmico de los Ferrosos</v>
      </c>
    </row>
    <row r="137" spans="13:13" x14ac:dyDescent="0.25">
      <c r="M137" t="str">
        <v>Metalografía y Tratamiento Térmico de los No Ferrosos</v>
      </c>
    </row>
    <row r="138" spans="13:13" x14ac:dyDescent="0.25">
      <c r="M138" t="str">
        <v>Metalurgia de la Laminación y Productos Especiales</v>
      </c>
    </row>
    <row r="139" spans="13:13" x14ac:dyDescent="0.25">
      <c r="M139" t="str">
        <v>Metalurgia Extractivas de los No Ferrosos</v>
      </c>
    </row>
    <row r="140" spans="13:13" x14ac:dyDescent="0.25">
      <c r="M140" t="str">
        <v>Metalurgia Física 2</v>
      </c>
    </row>
    <row r="141" spans="13:13" x14ac:dyDescent="0.25">
      <c r="M141" t="str">
        <v>Metalúrgica Física 1</v>
      </c>
    </row>
    <row r="142" spans="13:13" x14ac:dyDescent="0.25">
      <c r="M142" t="str">
        <v>Mineralogía y Tratamiento de los Minerales</v>
      </c>
    </row>
    <row r="143" spans="13:13" x14ac:dyDescent="0.25">
      <c r="M143" t="str">
        <v>Modelización de los Procesos Metalúrgicos</v>
      </c>
    </row>
    <row r="144" spans="13:13" x14ac:dyDescent="0.25">
      <c r="M144" t="str">
        <v>Probabilidad y Estadística</v>
      </c>
    </row>
    <row r="145" spans="13:25" x14ac:dyDescent="0.25">
      <c r="M145" t="str">
        <v>Procesos de Conformación Plástica</v>
      </c>
    </row>
    <row r="146" spans="13:25" x14ac:dyDescent="0.25">
      <c r="M146" t="str">
        <v>Procesos de Reducción y Aceleración</v>
      </c>
    </row>
    <row r="147" spans="13:25" x14ac:dyDescent="0.25">
      <c r="M147" t="str">
        <v>Proyecto Final</v>
      </c>
    </row>
    <row r="148" spans="13:25" x14ac:dyDescent="0.25">
      <c r="M148" t="str">
        <v>Pulvimetalurgia y Recubrimiento de Materiales</v>
      </c>
    </row>
    <row r="149" spans="13:25" x14ac:dyDescent="0.25">
      <c r="M149" t="str">
        <v>Química General</v>
      </c>
    </row>
    <row r="150" spans="13:25" x14ac:dyDescent="0.25">
      <c r="M150" t="str">
        <v>Química Inorgánica y Orgánica</v>
      </c>
      <c r="Y150"/>
    </row>
    <row r="151" spans="13:25" x14ac:dyDescent="0.25">
      <c r="M151" t="str">
        <v>Reciclado y Economía Circular</v>
      </c>
      <c r="Y151"/>
    </row>
    <row r="152" spans="13:25" x14ac:dyDescent="0.25">
      <c r="M152" t="str">
        <v>Refractarios y Cerámicos</v>
      </c>
      <c r="Y152"/>
    </row>
    <row r="153" spans="13:25" x14ac:dyDescent="0.25">
      <c r="M153" t="str">
        <v>Sistemas de Representación</v>
      </c>
      <c r="Y153"/>
    </row>
    <row r="154" spans="13:25" x14ac:dyDescent="0.25">
      <c r="M154" t="str">
        <v>Soldadura</v>
      </c>
      <c r="Y154"/>
    </row>
    <row r="155" spans="13:25" x14ac:dyDescent="0.25">
      <c r="M155" t="str">
        <v>Taller de Integración</v>
      </c>
      <c r="Y155"/>
    </row>
    <row r="156" spans="13:25" x14ac:dyDescent="0.25">
      <c r="M156" t="str">
        <v>Técnicas de Análisis</v>
      </c>
      <c r="Y156"/>
    </row>
    <row r="157" spans="13:25" x14ac:dyDescent="0.25">
      <c r="M157" t="str">
        <v>Técnicas de Estudio Aplicada a Materiales</v>
      </c>
      <c r="Y157"/>
    </row>
    <row r="158" spans="13:25" x14ac:dyDescent="0.25">
      <c r="M158" t="str">
        <v>Termodinámica Metalúrgica</v>
      </c>
      <c r="Y158"/>
    </row>
    <row r="159" spans="13:25" x14ac:dyDescent="0.25">
      <c r="Y159"/>
    </row>
    <row r="160" spans="13:25" x14ac:dyDescent="0.25">
      <c r="Y160"/>
    </row>
    <row r="161" spans="12:69" x14ac:dyDescent="0.25">
      <c r="Y161"/>
    </row>
    <row r="162" spans="12:69" x14ac:dyDescent="0.25">
      <c r="Y162"/>
    </row>
    <row r="163" spans="12:69" x14ac:dyDescent="0.25">
      <c r="Y163"/>
    </row>
    <row r="164" spans="12:69" x14ac:dyDescent="0.25">
      <c r="N164" s="151"/>
      <c r="O164" s="151"/>
      <c r="P164" s="151"/>
      <c r="Q164" s="151"/>
      <c r="S164" s="151"/>
    </row>
    <row r="165" spans="12:69" x14ac:dyDescent="0.25">
      <c r="N165" s="151"/>
      <c r="O165" s="151"/>
      <c r="P165" s="151"/>
      <c r="Q165" s="151"/>
      <c r="S165" s="151"/>
    </row>
    <row r="166" spans="12:69" x14ac:dyDescent="0.25">
      <c r="N166" s="151"/>
      <c r="O166" s="151"/>
      <c r="P166" s="151"/>
      <c r="Q166" s="151"/>
      <c r="S166" s="151"/>
    </row>
    <row r="167" spans="12:69" x14ac:dyDescent="0.25">
      <c r="N167" s="151"/>
      <c r="O167" s="151"/>
      <c r="P167" s="151"/>
      <c r="Q167" s="151"/>
      <c r="S167" s="151"/>
    </row>
    <row r="168" spans="12:69" x14ac:dyDescent="0.25">
      <c r="N168" s="151"/>
      <c r="O168" s="151"/>
      <c r="P168" s="151"/>
      <c r="Q168" s="151"/>
      <c r="S168" s="151"/>
    </row>
    <row r="169" spans="12:69" x14ac:dyDescent="0.25">
      <c r="N169" s="151"/>
      <c r="O169" s="151"/>
      <c r="P169" s="151"/>
      <c r="Q169" s="151"/>
      <c r="S169" s="151"/>
    </row>
    <row r="170" spans="12:69" x14ac:dyDescent="0.25">
      <c r="N170" s="151"/>
      <c r="O170" s="151"/>
      <c r="P170" s="151"/>
      <c r="Q170" s="151"/>
      <c r="S170" s="151"/>
    </row>
    <row r="171" spans="12:69" x14ac:dyDescent="0.25">
      <c r="Y171"/>
    </row>
    <row r="172" spans="12:69" x14ac:dyDescent="0.25"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  <c r="AA172" s="47"/>
      <c r="AB172" s="47"/>
      <c r="AC172" s="47"/>
      <c r="AD172" s="47"/>
      <c r="AE172" s="47"/>
      <c r="AF172" s="47"/>
      <c r="AG172" s="47"/>
      <c r="AH172" s="47"/>
      <c r="AI172" s="47"/>
      <c r="AJ172" s="47"/>
      <c r="AK172" s="47"/>
      <c r="AL172" s="47"/>
      <c r="AM172" s="47"/>
      <c r="AN172" s="47"/>
      <c r="AO172" s="47"/>
      <c r="AP172" s="47"/>
      <c r="AQ172" s="47"/>
      <c r="AR172" s="47"/>
      <c r="AS172" s="47"/>
      <c r="AT172" s="47"/>
      <c r="AU172" s="47"/>
      <c r="AV172" s="47"/>
      <c r="AW172" s="47"/>
      <c r="AX172" s="47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</row>
    <row r="173" spans="12:69" x14ac:dyDescent="0.25"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  <c r="AA173" s="47"/>
      <c r="AB173" s="47"/>
      <c r="AC173" s="47"/>
      <c r="AD173" s="47"/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  <c r="AX173" s="47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</row>
    <row r="174" spans="12:69" x14ac:dyDescent="0.25"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</row>
    <row r="175" spans="12:69" x14ac:dyDescent="0.25"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  <c r="AA175" s="47"/>
      <c r="AB175" s="47"/>
      <c r="AC175" s="47"/>
      <c r="AD175" s="47"/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  <c r="AX175" s="47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</row>
    <row r="176" spans="12:69" x14ac:dyDescent="0.25"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  <c r="AA176" s="47"/>
      <c r="AB176" s="47"/>
      <c r="AC176" s="47"/>
      <c r="AD176" s="47"/>
      <c r="AE176" s="47"/>
      <c r="AF176" s="47"/>
      <c r="AG176" s="47"/>
      <c r="AH176" s="47"/>
      <c r="AI176" s="47"/>
      <c r="AJ176" s="47"/>
      <c r="AK176" s="47"/>
      <c r="AL176" s="47"/>
      <c r="AM176" s="47"/>
      <c r="AN176" s="47"/>
      <c r="AO176" s="47"/>
      <c r="AP176" s="47"/>
      <c r="AQ176" s="47"/>
      <c r="AR176" s="47"/>
      <c r="AS176" s="47"/>
      <c r="AT176" s="47"/>
      <c r="AU176" s="47"/>
      <c r="AV176" s="47"/>
      <c r="AW176" s="47"/>
      <c r="AX176" s="47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</row>
    <row r="177" spans="12:69" x14ac:dyDescent="0.25"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  <c r="AA177" s="47"/>
      <c r="AB177" s="47"/>
      <c r="AC177" s="47"/>
      <c r="AD177" s="47"/>
      <c r="AE177" s="47"/>
      <c r="AF177" s="47"/>
      <c r="AG177" s="47"/>
      <c r="AH177" s="47"/>
      <c r="AI177" s="47"/>
      <c r="AJ177" s="47"/>
      <c r="AK177" s="47"/>
      <c r="AL177" s="47"/>
      <c r="AM177" s="47"/>
      <c r="AN177" s="47"/>
      <c r="AO177" s="47"/>
      <c r="AP177" s="47"/>
      <c r="AQ177" s="47"/>
      <c r="AR177" s="47"/>
      <c r="AS177" s="47"/>
      <c r="AT177" s="47"/>
      <c r="AU177" s="47"/>
      <c r="AV177" s="47"/>
      <c r="AW177" s="47"/>
      <c r="AX177" s="47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</row>
    <row r="178" spans="12:69" x14ac:dyDescent="0.25"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  <c r="AA178" s="47"/>
      <c r="AB178" s="47"/>
      <c r="AC178" s="47"/>
      <c r="AD178" s="47"/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  <c r="AX178" s="47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</row>
    <row r="179" spans="12:69" x14ac:dyDescent="0.25"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  <c r="AA179" s="47"/>
      <c r="AB179" s="47"/>
      <c r="AC179" s="47"/>
      <c r="AD179" s="47"/>
      <c r="AE179" s="47"/>
      <c r="AF179" s="47"/>
      <c r="AG179" s="47"/>
      <c r="AH179" s="47"/>
      <c r="AI179" s="47"/>
      <c r="AJ179" s="47"/>
      <c r="AK179" s="47"/>
      <c r="AL179" s="47"/>
      <c r="AM179" s="47"/>
      <c r="AN179" s="47"/>
      <c r="AO179" s="47"/>
      <c r="AP179" s="47"/>
      <c r="AQ179" s="47"/>
      <c r="AR179" s="47"/>
      <c r="AS179" s="47"/>
      <c r="AT179" s="47"/>
      <c r="AU179" s="47"/>
      <c r="AV179" s="47"/>
      <c r="AW179" s="47"/>
      <c r="AX179" s="47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</row>
    <row r="180" spans="12:69" x14ac:dyDescent="0.25"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  <c r="AA180" s="47"/>
      <c r="AB180" s="47"/>
      <c r="AC180" s="47"/>
      <c r="AD180" s="47"/>
      <c r="AE180" s="47"/>
      <c r="AF180" s="47"/>
      <c r="AG180" s="47"/>
      <c r="AH180" s="47"/>
      <c r="AI180" s="47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</row>
    <row r="181" spans="12:69" x14ac:dyDescent="0.25"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  <c r="AA181" s="47"/>
      <c r="AB181" s="47"/>
      <c r="AC181" s="47"/>
      <c r="AD181" s="47"/>
      <c r="AE181" s="47"/>
      <c r="AF181" s="47"/>
      <c r="AG181" s="47"/>
      <c r="AH181" s="47"/>
      <c r="AI181" s="47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</row>
    <row r="182" spans="12:69" x14ac:dyDescent="0.25"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  <c r="AA182" s="47"/>
      <c r="AB182" s="47"/>
      <c r="AC182" s="47"/>
      <c r="AD182" s="47"/>
      <c r="AE182" s="47"/>
      <c r="AF182" s="47"/>
      <c r="AG182" s="47"/>
      <c r="AH182" s="47"/>
      <c r="AI182" s="47"/>
      <c r="AJ182" s="47"/>
      <c r="AK182" s="47"/>
      <c r="AL182" s="47"/>
      <c r="AM182" s="47"/>
      <c r="AN182" s="47"/>
      <c r="AO182" s="47"/>
      <c r="AP182" s="47"/>
      <c r="AQ182" s="47"/>
      <c r="AR182" s="47"/>
      <c r="AS182" s="47"/>
      <c r="AT182" s="47"/>
      <c r="AU182" s="47"/>
      <c r="AV182" s="47"/>
      <c r="AW182" s="47"/>
      <c r="AX182" s="47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</row>
    <row r="183" spans="12:69" x14ac:dyDescent="0.25"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  <c r="AA183" s="47"/>
      <c r="AB183" s="47"/>
      <c r="AC183" s="47"/>
      <c r="AD183" s="47"/>
      <c r="AE183" s="47"/>
      <c r="AF183" s="47"/>
      <c r="AG183" s="47"/>
      <c r="AH183" s="47"/>
      <c r="AI183" s="47"/>
      <c r="AJ183" s="47"/>
      <c r="AK183" s="47"/>
      <c r="AL183" s="47"/>
      <c r="AM183" s="47"/>
      <c r="AN183" s="47"/>
      <c r="AO183" s="47"/>
      <c r="AP183" s="47"/>
      <c r="AQ183" s="47"/>
      <c r="AR183" s="47"/>
      <c r="AS183" s="47"/>
      <c r="AT183" s="47"/>
      <c r="AU183" s="47"/>
      <c r="AV183" s="47"/>
      <c r="AW183" s="47"/>
      <c r="AX183" s="47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</row>
    <row r="184" spans="12:69" x14ac:dyDescent="0.25"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  <c r="AA184" s="47"/>
      <c r="AB184" s="47"/>
      <c r="AC184" s="47"/>
      <c r="AD184" s="47"/>
      <c r="AE184" s="47"/>
      <c r="AF184" s="47"/>
      <c r="AG184" s="47"/>
      <c r="AH184" s="47"/>
      <c r="AI184" s="47"/>
      <c r="AJ184" s="47"/>
      <c r="AK184" s="47"/>
      <c r="AL184" s="47"/>
      <c r="AM184" s="47"/>
      <c r="AN184" s="47"/>
      <c r="AO184" s="47"/>
      <c r="AP184" s="47"/>
      <c r="AQ184" s="47"/>
      <c r="AR184" s="47"/>
      <c r="AS184" s="47"/>
      <c r="AT184" s="47"/>
      <c r="AU184" s="47"/>
      <c r="AV184" s="47"/>
      <c r="AW184" s="47"/>
      <c r="AX184" s="47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</row>
    <row r="185" spans="12:69" x14ac:dyDescent="0.25"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  <c r="AA185" s="47"/>
      <c r="AB185" s="47"/>
      <c r="AC185" s="47"/>
      <c r="AD185" s="47"/>
      <c r="AE185" s="47"/>
      <c r="AF185" s="47"/>
      <c r="AG185" s="47"/>
      <c r="AH185" s="47"/>
      <c r="AI185" s="47"/>
      <c r="AJ185" s="47"/>
      <c r="AK185" s="47"/>
      <c r="AL185" s="47"/>
      <c r="AM185" s="47"/>
      <c r="AN185" s="47"/>
      <c r="AO185" s="47"/>
      <c r="AP185" s="47"/>
      <c r="AQ185" s="47"/>
      <c r="AR185" s="47"/>
      <c r="AS185" s="47"/>
      <c r="AT185" s="47"/>
      <c r="AU185" s="47"/>
      <c r="AV185" s="47"/>
      <c r="AW185" s="47"/>
      <c r="AX185" s="47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</row>
    <row r="186" spans="12:69" x14ac:dyDescent="0.25"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7"/>
      <c r="AF186" s="47"/>
      <c r="AG186" s="47"/>
      <c r="AH186" s="47"/>
      <c r="AI186" s="47"/>
      <c r="AJ186" s="47"/>
      <c r="AK186" s="47"/>
      <c r="AL186" s="47"/>
      <c r="AM186" s="47"/>
      <c r="AN186" s="47"/>
      <c r="AO186" s="47"/>
      <c r="AP186" s="47"/>
      <c r="AQ186" s="47"/>
      <c r="AR186" s="47"/>
      <c r="AS186" s="47"/>
      <c r="AT186" s="47"/>
      <c r="AU186" s="47"/>
      <c r="AV186" s="47"/>
      <c r="AW186" s="47"/>
      <c r="AX186" s="47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</row>
    <row r="187" spans="12:69" x14ac:dyDescent="0.25"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  <c r="AA187" s="47"/>
      <c r="AB187" s="47"/>
      <c r="AC187" s="47"/>
      <c r="AD187" s="47"/>
      <c r="AE187" s="47"/>
      <c r="AF187" s="47"/>
      <c r="AG187" s="47"/>
      <c r="AH187" s="47"/>
      <c r="AI187" s="47"/>
      <c r="AJ187" s="47"/>
      <c r="AK187" s="47"/>
      <c r="AL187" s="47"/>
      <c r="AM187" s="47"/>
      <c r="AN187" s="47"/>
      <c r="AO187" s="47"/>
      <c r="AP187" s="47"/>
      <c r="AQ187" s="47"/>
      <c r="AR187" s="47"/>
      <c r="AS187" s="47"/>
      <c r="AT187" s="47"/>
      <c r="AU187" s="47"/>
      <c r="AV187" s="47"/>
      <c r="AW187" s="47"/>
      <c r="AX187" s="47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</row>
    <row r="188" spans="12:69" x14ac:dyDescent="0.25"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47"/>
      <c r="AI188" s="47"/>
      <c r="AJ188" s="47"/>
      <c r="AK188" s="47"/>
      <c r="AL188" s="47"/>
      <c r="AM188" s="47"/>
      <c r="AN188" s="47"/>
      <c r="AO188" s="47"/>
      <c r="AP188" s="47"/>
      <c r="AQ188" s="47"/>
      <c r="AR188" s="47"/>
      <c r="AS188" s="47"/>
      <c r="AT188" s="47"/>
      <c r="AU188" s="47"/>
      <c r="AV188" s="47"/>
      <c r="AW188" s="47"/>
      <c r="AX188" s="47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</row>
    <row r="189" spans="12:69" x14ac:dyDescent="0.25"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  <c r="AA189" s="47"/>
      <c r="AB189" s="47"/>
      <c r="AC189" s="47"/>
      <c r="AD189" s="47"/>
      <c r="AE189" s="47"/>
      <c r="AF189" s="47"/>
      <c r="AG189" s="47"/>
      <c r="AH189" s="47"/>
      <c r="AI189" s="47"/>
      <c r="AJ189" s="47"/>
      <c r="AK189" s="47"/>
      <c r="AL189" s="47"/>
      <c r="AM189" s="47"/>
      <c r="AN189" s="47"/>
      <c r="AO189" s="47"/>
      <c r="AP189" s="47"/>
      <c r="AQ189" s="47"/>
      <c r="AR189" s="47"/>
      <c r="AS189" s="47"/>
      <c r="AT189" s="47"/>
      <c r="AU189" s="47"/>
      <c r="AV189" s="47"/>
      <c r="AW189" s="47"/>
      <c r="AX189" s="47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</row>
    <row r="190" spans="12:69" x14ac:dyDescent="0.25"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  <c r="AA190" s="47"/>
      <c r="AB190" s="47"/>
      <c r="AC190" s="47"/>
      <c r="AD190" s="47"/>
      <c r="AE190" s="47"/>
      <c r="AF190" s="47"/>
      <c r="AG190" s="47"/>
      <c r="AH190" s="47"/>
      <c r="AI190" s="47"/>
      <c r="AJ190" s="47"/>
      <c r="AK190" s="47"/>
      <c r="AL190" s="47"/>
      <c r="AM190" s="47"/>
      <c r="AN190" s="47"/>
      <c r="AO190" s="47"/>
      <c r="AP190" s="47"/>
      <c r="AQ190" s="47"/>
      <c r="AR190" s="47"/>
      <c r="AS190" s="47"/>
      <c r="AT190" s="47"/>
      <c r="AU190" s="47"/>
      <c r="AV190" s="47"/>
      <c r="AW190" s="47"/>
      <c r="AX190" s="47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</row>
    <row r="191" spans="12:69" x14ac:dyDescent="0.25"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  <c r="AA191" s="47"/>
      <c r="AB191" s="47"/>
      <c r="AC191" s="47"/>
      <c r="AD191" s="47"/>
      <c r="AE191" s="47"/>
      <c r="AF191" s="47"/>
      <c r="AG191" s="47"/>
      <c r="AH191" s="47"/>
      <c r="AI191" s="47"/>
      <c r="AJ191" s="47"/>
      <c r="AK191" s="47"/>
      <c r="AL191" s="47"/>
      <c r="AM191" s="47"/>
      <c r="AN191" s="47"/>
      <c r="AO191" s="47"/>
      <c r="AP191" s="47"/>
      <c r="AQ191" s="47"/>
      <c r="AR191" s="47"/>
      <c r="AS191" s="47"/>
      <c r="AT191" s="47"/>
      <c r="AU191" s="47"/>
      <c r="AV191" s="47"/>
      <c r="AW191" s="47"/>
      <c r="AX191" s="47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</row>
    <row r="192" spans="12:69" x14ac:dyDescent="0.25"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  <c r="AA192" s="47"/>
      <c r="AB192" s="47"/>
      <c r="AC192" s="47"/>
      <c r="AD192" s="47"/>
      <c r="AE192" s="47"/>
      <c r="AF192" s="47"/>
      <c r="AG192" s="47"/>
      <c r="AH192" s="47"/>
      <c r="AI192" s="47"/>
      <c r="AJ192" s="47"/>
      <c r="AK192" s="47"/>
      <c r="AL192" s="47"/>
      <c r="AM192" s="47"/>
      <c r="AN192" s="47"/>
      <c r="AO192" s="47"/>
      <c r="AP192" s="47"/>
      <c r="AQ192" s="47"/>
      <c r="AR192" s="47"/>
      <c r="AS192" s="47"/>
      <c r="AT192" s="47"/>
      <c r="AU192" s="47"/>
      <c r="AV192" s="47"/>
      <c r="AW192" s="47"/>
      <c r="AX192" s="47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</row>
    <row r="193" spans="12:69" x14ac:dyDescent="0.25"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  <c r="AA193" s="47"/>
      <c r="AB193" s="47"/>
      <c r="AC193" s="47"/>
      <c r="AD193" s="47"/>
      <c r="AE193" s="47"/>
      <c r="AF193" s="47"/>
      <c r="AG193" s="47"/>
      <c r="AH193" s="47"/>
      <c r="AI193" s="47"/>
      <c r="AJ193" s="47"/>
      <c r="AK193" s="47"/>
      <c r="AL193" s="47"/>
      <c r="AM193" s="47"/>
      <c r="AN193" s="47"/>
      <c r="AO193" s="47"/>
      <c r="AP193" s="47"/>
      <c r="AQ193" s="47"/>
      <c r="AR193" s="47"/>
      <c r="AS193" s="47"/>
      <c r="AT193" s="47"/>
      <c r="AU193" s="47"/>
      <c r="AV193" s="47"/>
      <c r="AW193" s="47"/>
      <c r="AX193" s="47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</row>
    <row r="194" spans="12:69" x14ac:dyDescent="0.25"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  <c r="AA194" s="47"/>
      <c r="AB194" s="47"/>
      <c r="AC194" s="47"/>
      <c r="AD194" s="47"/>
      <c r="AE194" s="47"/>
      <c r="AF194" s="47"/>
      <c r="AG194" s="47"/>
      <c r="AH194" s="47"/>
      <c r="AI194" s="47"/>
      <c r="AJ194" s="47"/>
      <c r="AK194" s="47"/>
      <c r="AL194" s="47"/>
      <c r="AM194" s="47"/>
      <c r="AN194" s="47"/>
      <c r="AO194" s="47"/>
      <c r="AP194" s="47"/>
      <c r="AQ194" s="47"/>
      <c r="AR194" s="47"/>
      <c r="AS194" s="47"/>
      <c r="AT194" s="47"/>
      <c r="AU194" s="47"/>
      <c r="AV194" s="47"/>
      <c r="AW194" s="47"/>
      <c r="AX194" s="47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</row>
    <row r="195" spans="12:69" x14ac:dyDescent="0.25"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  <c r="AA195" s="47"/>
      <c r="AB195" s="47"/>
      <c r="AC195" s="47"/>
      <c r="AD195" s="47"/>
      <c r="AE195" s="47"/>
      <c r="AF195" s="47"/>
      <c r="AG195" s="47"/>
      <c r="AH195" s="47"/>
      <c r="AI195" s="47"/>
      <c r="AJ195" s="47"/>
      <c r="AK195" s="47"/>
      <c r="AL195" s="47"/>
      <c r="AM195" s="47"/>
      <c r="AN195" s="47"/>
      <c r="AO195" s="47"/>
      <c r="AP195" s="47"/>
      <c r="AQ195" s="47"/>
      <c r="AR195" s="47"/>
      <c r="AS195" s="47"/>
      <c r="AT195" s="47"/>
      <c r="AU195" s="47"/>
      <c r="AV195" s="47"/>
      <c r="AW195" s="47"/>
      <c r="AX195" s="47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</row>
    <row r="196" spans="12:69" x14ac:dyDescent="0.25"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  <c r="AA196" s="47"/>
      <c r="AB196" s="47"/>
      <c r="AC196" s="47"/>
      <c r="AD196" s="47"/>
      <c r="AE196" s="47"/>
      <c r="AF196" s="47"/>
      <c r="AG196" s="47"/>
      <c r="AH196" s="47"/>
      <c r="AI196" s="47"/>
      <c r="AJ196" s="47"/>
      <c r="AK196" s="47"/>
      <c r="AL196" s="47"/>
      <c r="AM196" s="47"/>
      <c r="AN196" s="47"/>
      <c r="AO196" s="47"/>
      <c r="AP196" s="47"/>
      <c r="AQ196" s="47"/>
      <c r="AR196" s="47"/>
      <c r="AS196" s="47"/>
      <c r="AT196" s="47"/>
      <c r="AU196" s="47"/>
      <c r="AV196" s="47"/>
      <c r="AW196" s="47"/>
      <c r="AX196" s="47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</row>
    <row r="197" spans="12:69" x14ac:dyDescent="0.25"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  <c r="AA197" s="47"/>
      <c r="AB197" s="47"/>
      <c r="AC197" s="47"/>
      <c r="AD197" s="47"/>
      <c r="AE197" s="47"/>
      <c r="AF197" s="47"/>
      <c r="AG197" s="47"/>
      <c r="AH197" s="47"/>
      <c r="AI197" s="47"/>
      <c r="AJ197" s="47"/>
      <c r="AK197" s="47"/>
      <c r="AL197" s="47"/>
      <c r="AM197" s="47"/>
      <c r="AN197" s="47"/>
      <c r="AO197" s="47"/>
      <c r="AP197" s="47"/>
      <c r="AQ197" s="47"/>
      <c r="AR197" s="47"/>
      <c r="AS197" s="47"/>
      <c r="AT197" s="47"/>
      <c r="AU197" s="47"/>
      <c r="AV197" s="47"/>
      <c r="AW197" s="47"/>
      <c r="AX197" s="47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</row>
    <row r="198" spans="12:69" x14ac:dyDescent="0.25"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  <c r="AA198" s="47"/>
      <c r="AB198" s="47"/>
      <c r="AC198" s="47"/>
      <c r="AD198" s="47"/>
      <c r="AE198" s="47"/>
      <c r="AF198" s="47"/>
      <c r="AG198" s="47"/>
      <c r="AH198" s="47"/>
      <c r="AI198" s="47"/>
      <c r="AJ198" s="47"/>
      <c r="AK198" s="47"/>
      <c r="AL198" s="47"/>
      <c r="AM198" s="47"/>
      <c r="AN198" s="47"/>
      <c r="AO198" s="47"/>
      <c r="AP198" s="47"/>
      <c r="AQ198" s="47"/>
      <c r="AR198" s="47"/>
      <c r="AS198" s="47"/>
      <c r="AT198" s="47"/>
      <c r="AU198" s="47"/>
      <c r="AV198" s="47"/>
      <c r="AW198" s="47"/>
      <c r="AX198" s="47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</row>
    <row r="199" spans="12:69" x14ac:dyDescent="0.25"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  <c r="AA199" s="47"/>
      <c r="AB199" s="47"/>
      <c r="AC199" s="47"/>
      <c r="AD199" s="47"/>
      <c r="AE199" s="47"/>
      <c r="AF199" s="47"/>
      <c r="AG199" s="47"/>
      <c r="AH199" s="47"/>
      <c r="AI199" s="47"/>
      <c r="AJ199" s="47"/>
      <c r="AK199" s="47"/>
      <c r="AL199" s="47"/>
      <c r="AM199" s="47"/>
      <c r="AN199" s="47"/>
      <c r="AO199" s="47"/>
      <c r="AP199" s="47"/>
      <c r="AQ199" s="47"/>
      <c r="AR199" s="47"/>
      <c r="AS199" s="47"/>
      <c r="AT199" s="47"/>
      <c r="AU199" s="47"/>
      <c r="AV199" s="47"/>
      <c r="AW199" s="47"/>
      <c r="AX199" s="47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</row>
    <row r="200" spans="12:69" x14ac:dyDescent="0.25"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  <c r="AA200" s="47"/>
      <c r="AB200" s="47"/>
      <c r="AC200" s="47"/>
      <c r="AD200" s="47"/>
      <c r="AE200" s="47"/>
      <c r="AF200" s="47"/>
      <c r="AG200" s="47"/>
      <c r="AH200" s="47"/>
      <c r="AI200" s="47"/>
      <c r="AJ200" s="47"/>
      <c r="AK200" s="47"/>
      <c r="AL200" s="47"/>
      <c r="AM200" s="47"/>
      <c r="AN200" s="47"/>
      <c r="AO200" s="47"/>
      <c r="AP200" s="47"/>
      <c r="AQ200" s="47"/>
      <c r="AR200" s="47"/>
      <c r="AS200" s="47"/>
      <c r="AT200" s="47"/>
      <c r="AU200" s="47"/>
      <c r="AV200" s="47"/>
      <c r="AW200" s="47"/>
      <c r="AX200" s="47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</row>
    <row r="201" spans="12:69" x14ac:dyDescent="0.25"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  <c r="AA201" s="47"/>
      <c r="AB201" s="47"/>
      <c r="AC201" s="47"/>
      <c r="AD201" s="47"/>
      <c r="AE201" s="47"/>
      <c r="AF201" s="47"/>
      <c r="AG201" s="47"/>
      <c r="AH201" s="47"/>
      <c r="AI201" s="47"/>
      <c r="AJ201" s="47"/>
      <c r="AK201" s="47"/>
      <c r="AL201" s="47"/>
      <c r="AM201" s="47"/>
      <c r="AN201" s="47"/>
      <c r="AO201" s="47"/>
      <c r="AP201" s="47"/>
      <c r="AQ201" s="47"/>
      <c r="AR201" s="47"/>
      <c r="AS201" s="47"/>
      <c r="AT201" s="47"/>
      <c r="AU201" s="47"/>
      <c r="AV201" s="47"/>
      <c r="AW201" s="47"/>
      <c r="AX201" s="47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</row>
    <row r="202" spans="12:69" x14ac:dyDescent="0.25"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  <c r="AA202" s="47"/>
      <c r="AB202" s="47"/>
      <c r="AC202" s="47"/>
      <c r="AD202" s="47"/>
      <c r="AE202" s="47"/>
      <c r="AF202" s="47"/>
      <c r="AG202" s="47"/>
      <c r="AH202" s="47"/>
      <c r="AI202" s="47"/>
      <c r="AJ202" s="47"/>
      <c r="AK202" s="47"/>
      <c r="AL202" s="47"/>
      <c r="AM202" s="47"/>
      <c r="AN202" s="47"/>
      <c r="AO202" s="47"/>
      <c r="AP202" s="47"/>
      <c r="AQ202" s="47"/>
      <c r="AR202" s="47"/>
      <c r="AS202" s="47"/>
      <c r="AT202" s="47"/>
      <c r="AU202" s="47"/>
      <c r="AV202" s="47"/>
      <c r="AW202" s="47"/>
      <c r="AX202" s="47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</row>
    <row r="203" spans="12:69" x14ac:dyDescent="0.25"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7"/>
      <c r="AD203" s="47"/>
      <c r="AE203" s="47"/>
      <c r="AF203" s="47"/>
      <c r="AG203" s="47"/>
      <c r="AH203" s="47"/>
      <c r="AI203" s="47"/>
      <c r="AJ203" s="47"/>
      <c r="AK203" s="47"/>
      <c r="AL203" s="47"/>
      <c r="AM203" s="47"/>
      <c r="AN203" s="47"/>
      <c r="AO203" s="47"/>
      <c r="AP203" s="47"/>
      <c r="AQ203" s="47"/>
      <c r="AR203" s="47"/>
      <c r="AS203" s="47"/>
      <c r="AT203" s="47"/>
      <c r="AU203" s="47"/>
      <c r="AV203" s="47"/>
      <c r="AW203" s="47"/>
      <c r="AX203" s="47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</row>
    <row r="204" spans="12:69" x14ac:dyDescent="0.25"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  <c r="AA204" s="47"/>
      <c r="AB204" s="47"/>
      <c r="AC204" s="47"/>
      <c r="AD204" s="47"/>
      <c r="AE204" s="47"/>
      <c r="AF204" s="47"/>
      <c r="AG204" s="47"/>
      <c r="AH204" s="47"/>
      <c r="AI204" s="47"/>
      <c r="AJ204" s="47"/>
      <c r="AK204" s="47"/>
      <c r="AL204" s="47"/>
      <c r="AM204" s="47"/>
      <c r="AN204" s="47"/>
      <c r="AO204" s="47"/>
      <c r="AP204" s="47"/>
      <c r="AQ204" s="47"/>
      <c r="AR204" s="47"/>
      <c r="AS204" s="47"/>
      <c r="AT204" s="47"/>
      <c r="AU204" s="47"/>
      <c r="AV204" s="47"/>
      <c r="AW204" s="47"/>
      <c r="AX204" s="47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</row>
    <row r="205" spans="12:69" x14ac:dyDescent="0.25">
      <c r="L205" s="47"/>
      <c r="M205" s="47"/>
      <c r="N205" s="47"/>
      <c r="O205" s="207"/>
      <c r="P205" s="207"/>
      <c r="Q205" s="207"/>
      <c r="R205" s="207"/>
      <c r="S205" s="47"/>
      <c r="T205" s="47"/>
      <c r="U205" s="47"/>
      <c r="V205" s="47"/>
      <c r="W205" s="47"/>
      <c r="X205" s="47"/>
      <c r="Y205" s="47"/>
      <c r="Z205" s="47"/>
      <c r="AA205" s="47"/>
      <c r="AB205" s="47"/>
      <c r="AC205" s="47"/>
      <c r="AD205" s="47"/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  <c r="AX205" s="47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</row>
    <row r="206" spans="12:69" x14ac:dyDescent="0.25"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  <c r="AA206" s="47"/>
      <c r="AB206" s="47"/>
      <c r="AC206" s="47"/>
      <c r="AD206" s="47"/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  <c r="AX206" s="47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</row>
    <row r="207" spans="12:69" x14ac:dyDescent="0.25"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  <c r="AA207" s="47"/>
      <c r="AB207" s="47"/>
      <c r="AC207" s="47"/>
      <c r="AD207" s="47"/>
      <c r="AE207" s="47"/>
      <c r="AF207" s="47"/>
      <c r="AG207" s="47"/>
      <c r="AH207" s="47"/>
      <c r="AI207" s="47"/>
      <c r="AJ207" s="47"/>
      <c r="AK207" s="47"/>
      <c r="AL207" s="47"/>
      <c r="AM207" s="47"/>
      <c r="AN207" s="47"/>
      <c r="AO207" s="47"/>
      <c r="AP207" s="47"/>
      <c r="AQ207" s="47"/>
      <c r="AR207" s="47"/>
      <c r="AS207" s="47"/>
      <c r="AT207" s="47"/>
      <c r="AU207" s="47"/>
      <c r="AV207" s="47"/>
      <c r="AW207" s="47"/>
      <c r="AX207" s="47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</row>
    <row r="208" spans="12:69" x14ac:dyDescent="0.25"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  <c r="AA208" s="47"/>
      <c r="AB208" s="47"/>
      <c r="AC208" s="47"/>
      <c r="AD208" s="47"/>
      <c r="AE208" s="47"/>
      <c r="AF208" s="47"/>
      <c r="AG208" s="47"/>
      <c r="AH208" s="47"/>
      <c r="AI208" s="47"/>
      <c r="AJ208" s="47"/>
      <c r="AK208" s="47"/>
      <c r="AL208" s="47"/>
      <c r="AM208" s="47"/>
      <c r="AN208" s="47"/>
      <c r="AO208" s="47"/>
      <c r="AP208" s="47"/>
      <c r="AQ208" s="47"/>
      <c r="AR208" s="47"/>
      <c r="AS208" s="47"/>
      <c r="AT208" s="47"/>
      <c r="AU208" s="47"/>
      <c r="AV208" s="47"/>
      <c r="AW208" s="47"/>
      <c r="AX208" s="47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</row>
    <row r="209" spans="12:69" x14ac:dyDescent="0.25"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  <c r="AA209" s="47"/>
      <c r="AB209" s="47"/>
      <c r="AC209" s="47"/>
      <c r="AD209" s="47"/>
      <c r="AE209" s="47"/>
      <c r="AF209" s="47"/>
      <c r="AG209" s="47"/>
      <c r="AH209" s="47"/>
      <c r="AI209" s="47"/>
      <c r="AJ209" s="47"/>
      <c r="AK209" s="47"/>
      <c r="AL209" s="47"/>
      <c r="AM209" s="47"/>
      <c r="AN209" s="47"/>
      <c r="AO209" s="47"/>
      <c r="AP209" s="47"/>
      <c r="AQ209" s="47"/>
      <c r="AR209" s="47"/>
      <c r="AS209" s="47"/>
      <c r="AT209" s="47"/>
      <c r="AU209" s="47"/>
      <c r="AV209" s="47"/>
      <c r="AW209" s="47"/>
      <c r="AX209" s="47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</row>
    <row r="210" spans="12:69" x14ac:dyDescent="0.25"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  <c r="AA210" s="47"/>
      <c r="AB210" s="47"/>
      <c r="AC210" s="47"/>
      <c r="AD210" s="47"/>
      <c r="AE210" s="47"/>
      <c r="AF210" s="47"/>
      <c r="AG210" s="47"/>
      <c r="AH210" s="47"/>
      <c r="AI210" s="47"/>
      <c r="AJ210" s="47"/>
      <c r="AK210" s="47"/>
      <c r="AL210" s="47"/>
      <c r="AM210" s="47"/>
      <c r="AN210" s="47"/>
      <c r="AO210" s="47"/>
      <c r="AP210" s="47"/>
      <c r="AQ210" s="47"/>
      <c r="AR210" s="47"/>
      <c r="AS210" s="47"/>
      <c r="AT210" s="47"/>
      <c r="AU210" s="47"/>
      <c r="AV210" s="47"/>
      <c r="AW210" s="47"/>
      <c r="AX210" s="47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</row>
    <row r="211" spans="12:69" x14ac:dyDescent="0.25">
      <c r="AB211" s="79"/>
      <c r="AR211" s="79"/>
    </row>
    <row r="212" spans="12:69" x14ac:dyDescent="0.25">
      <c r="AB212" s="79"/>
      <c r="AR212" s="79"/>
    </row>
    <row r="213" spans="12:69" x14ac:dyDescent="0.25">
      <c r="AB213" s="79"/>
      <c r="AR213" s="79"/>
    </row>
    <row r="214" spans="12:69" x14ac:dyDescent="0.25">
      <c r="AB214" s="79"/>
      <c r="AR214" s="79"/>
    </row>
    <row r="215" spans="12:69" x14ac:dyDescent="0.25">
      <c r="AB215" s="79"/>
      <c r="AR215" s="79"/>
    </row>
    <row r="216" spans="12:69" x14ac:dyDescent="0.25">
      <c r="AB216" s="79"/>
      <c r="AR216" s="79"/>
    </row>
    <row r="217" spans="12:69" x14ac:dyDescent="0.25">
      <c r="AB217" s="79"/>
      <c r="AR217" s="79"/>
    </row>
    <row r="218" spans="12:69" x14ac:dyDescent="0.25">
      <c r="AB218" s="79"/>
      <c r="AR218" s="79"/>
    </row>
    <row r="219" spans="12:69" x14ac:dyDescent="0.25">
      <c r="AB219" s="151"/>
    </row>
    <row r="220" spans="12:69" x14ac:dyDescent="0.25">
      <c r="AB220" s="151"/>
    </row>
    <row r="221" spans="12:69" x14ac:dyDescent="0.25">
      <c r="AB221" s="151"/>
    </row>
    <row r="222" spans="12:69" x14ac:dyDescent="0.25">
      <c r="AB222" s="59"/>
    </row>
    <row r="223" spans="12:69" x14ac:dyDescent="0.25">
      <c r="AB223" s="197"/>
    </row>
    <row r="224" spans="12:69" x14ac:dyDescent="0.25">
      <c r="AB224" s="206"/>
    </row>
  </sheetData>
  <sheetProtection sort="0" autoFilter="0"/>
  <mergeCells count="19">
    <mergeCell ref="B2:E4"/>
    <mergeCell ref="I15:J16"/>
    <mergeCell ref="D15:E16"/>
    <mergeCell ref="D27:E28"/>
    <mergeCell ref="G11:J13"/>
    <mergeCell ref="B23:E25"/>
    <mergeCell ref="G2:J4"/>
    <mergeCell ref="I9:J9"/>
    <mergeCell ref="I6:J6"/>
    <mergeCell ref="G23:H25"/>
    <mergeCell ref="I23:J25"/>
    <mergeCell ref="I7:J7"/>
    <mergeCell ref="I8:J8"/>
    <mergeCell ref="G7:H7"/>
    <mergeCell ref="G8:H8"/>
    <mergeCell ref="G9:H9"/>
    <mergeCell ref="G6:H6"/>
    <mergeCell ref="B30:C30"/>
    <mergeCell ref="B11:E13"/>
  </mergeCells>
  <phoneticPr fontId="8" type="noConversion"/>
  <conditionalFormatting sqref="D15">
    <cfRule type="colorScale" priority="7">
      <colorScale>
        <cfvo type="num" val="0"/>
        <cfvo type="num" val="15"/>
        <cfvo type="num" val="29"/>
        <color theme="9"/>
        <color rgb="FFFFEB84"/>
        <color rgb="FFF30B11"/>
      </colorScale>
    </cfRule>
  </conditionalFormatting>
  <conditionalFormatting sqref="I15">
    <cfRule type="colorScale" priority="9">
      <colorScale>
        <cfvo type="num" val="0"/>
        <cfvo type="num" val="24"/>
        <cfvo type="num" val="48"/>
        <color theme="9"/>
        <color rgb="FFFFEB84"/>
        <color rgb="FFF30B11"/>
      </colorScale>
    </cfRule>
  </conditionalFormatting>
  <conditionalFormatting sqref="I6">
    <cfRule type="colorScale" priority="4">
      <colorScale>
        <cfvo type="num" val="0"/>
        <cfvo type="num" val="3"/>
        <cfvo type="num" val="7"/>
        <color rgb="FFF30B11"/>
        <color rgb="FFFFEB84"/>
        <color theme="9"/>
      </colorScale>
    </cfRule>
  </conditionalFormatting>
  <conditionalFormatting sqref="B32:B34 B19:B21 G19:G21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47" xr:uid="{1FBE312D-2A67-423B-8A9B-2A25BF4416F1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2025-04-13T03:30:02Z</dcterms:modified>
</cp:coreProperties>
</file>