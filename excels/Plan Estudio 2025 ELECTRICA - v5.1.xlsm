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Facultad\Excel\"/>
    </mc:Choice>
  </mc:AlternateContent>
  <xr:revisionPtr revIDLastSave="0" documentId="13_ncr:1_{E89A719B-2F56-4D13-B1C7-61DD5BF8EB37}" xr6:coauthVersionLast="47" xr6:coauthVersionMax="47" xr10:uidLastSave="{00000000-0000-0000-0000-000000000000}"/>
  <workbookProtection workbookAlgorithmName="SHA-512" workbookHashValue="bRjCpmR9QVZQFvgnl/rjPtvWMBknX+MwAH0SY94wtsbLpORRdtSQi90GtO+2Fyc9z4B1h5TdIWmzwdQdEb2tCg==" workbookSaltValue="kXhFBr2OwjsVg6gDe0q1yg==" workbookSpinCount="100000" lockStructure="1"/>
  <bookViews>
    <workbookView showSheetTabs="0" xWindow="-120" yWindow="-120" windowWidth="38640" windowHeight="15990" xr2:uid="{73D44509-513D-46B0-BA06-915A2540095E}"/>
  </bookViews>
  <sheets>
    <sheet name="Plan de Estudio" sheetId="1" r:id="rId1"/>
    <sheet name="Control" sheetId="2" state="hidden" r:id="rId2"/>
  </sheets>
  <functionGroups builtInGroupCount="19"/>
  <definedNames>
    <definedName name="_anio_ingreso">'Plan de Estudio'!$Q$4</definedName>
    <definedName name="_cmb_lista_materias">Control!$M$108</definedName>
    <definedName name="_excepcion">'Plan de Estudio'!$J$9</definedName>
    <definedName name="_Tabla_Materias">Tabla1[]</definedName>
    <definedName name="_tabla_tipo_materia">Tabla3[Tipo]</definedName>
    <definedName name="_xlpm.anioIngreso" hidden="1" xlm="1">#NAME?</definedName>
    <definedName name="_xlpm.apr_1" hidden="1" xlm="1">#NAME?</definedName>
    <definedName name="_xlpm.apr_2" hidden="1" xlm="1">#NAME?</definedName>
    <definedName name="_xlpm.apr_3" hidden="1" xlm="1">#NAME?</definedName>
    <definedName name="_xlpm.apr_4" hidden="1" xlm="1">#NAME?</definedName>
    <definedName name="_xlpm.codigoMateria" hidden="1" xlm="1">#NAME?</definedName>
    <definedName name="_xlpm.columnaBase" hidden="1" xlm="1">#NAME?</definedName>
    <definedName name="_xlpm.columnaRelativa" hidden="1" xlm="1">#NAME?</definedName>
    <definedName name="_xlpm.cumpleRequisitos" hidden="1" xlm="1">#NAME?</definedName>
    <definedName name="_xlpm.EsRequisitoCumplido" hidden="1" xlm="1">#NAME?</definedName>
    <definedName name="_xlpm.estado" hidden="1" xlm="1">#NAME?</definedName>
    <definedName name="_xlpm.excepcion" hidden="1" xlm="1">#NAME?</definedName>
    <definedName name="_xlpm.filterCriteria" hidden="1" xlm="1">#NAME?</definedName>
    <definedName name="_xlpm.filteredRange" hidden="1" xlm="1">#NAME?</definedName>
    <definedName name="_xlpm.iconoEncontrado" hidden="1" xlm="1">#NAME?</definedName>
    <definedName name="_xlpm.num" hidden="1" xlm="1">#NAME?</definedName>
    <definedName name="_xlpm.pepe" hidden="1" xlm="1">#NAME?</definedName>
    <definedName name="_xlpm.reg" hidden="1" xlm="1">#NAME?</definedName>
    <definedName name="_xlpm.reg_" hidden="1" xlm="1">#NAME?</definedName>
    <definedName name="_xlpm.reg_1" hidden="1" xlm="1">#NAME?</definedName>
    <definedName name="_xlpm.reg_2" hidden="1" xlm="1">#NAME?</definedName>
    <definedName name="_xlpm.reg_3" hidden="1" xlm="1">#NAME?</definedName>
    <definedName name="_xlpm.reg_4" hidden="1" xlm="1">#NAME?</definedName>
    <definedName name="_xlpm.resultado" hidden="1" xlm="1">#NAME?</definedName>
    <definedName name="_xlpm.tabla" hidden="1" xlm="1">#NAME?</definedName>
    <definedName name="_xlpm.tablaCorrelativas" hidden="1" xlm="1">#NAME?</definedName>
    <definedName name="_xlpm.x" hidden="1" xlm="1">#NAME?</definedName>
    <definedName name="DatosExternos_3" localSheetId="1" hidden="1">Control!#REF!</definedName>
    <definedName name="DatosExternos_4" localSheetId="1" hidden="1">Control!#REF!</definedName>
    <definedName name="Modalidades">Tabla2[Modalidades]</definedName>
    <definedName name="SegmentaciónDeDatos_Cursar">#N/A</definedName>
    <definedName name="SegmentaciónDeDatos_Electiva">#N/A</definedName>
    <definedName name="SegmentaciónDeDatos_Estado">#N/A</definedName>
    <definedName name="SegmentaciónDeDatos_Modalidad">#N/A</definedName>
    <definedName name="SegmentaciónDeDatos_NIVEL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  <x14:slicerCache r:id="rId5"/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59" i="1" l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Y12" i="1"/>
  <c r="X12" i="1"/>
  <c r="G9" i="1" l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P12" i="1" l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32" i="1"/>
  <c r="F20" i="1"/>
  <c r="F12" i="1"/>
  <c r="F13" i="1"/>
  <c r="F14" i="1"/>
  <c r="F15" i="1"/>
  <c r="F16" i="1"/>
  <c r="F17" i="1"/>
  <c r="F18" i="1"/>
  <c r="F19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I23" i="2"/>
  <c r="D6" i="2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H9" i="1"/>
  <c r="I18" i="2"/>
  <c r="Z15" i="1"/>
  <c r="Z14" i="1"/>
  <c r="Z13" i="1"/>
  <c r="Z12" i="1"/>
  <c r="N8" i="2"/>
  <c r="J25" i="1" l="1"/>
  <c r="J57" i="1"/>
  <c r="J33" i="1"/>
  <c r="J58" i="1"/>
  <c r="J50" i="1"/>
  <c r="J42" i="1"/>
  <c r="J17" i="1"/>
  <c r="J34" i="1"/>
  <c r="J26" i="1"/>
  <c r="J55" i="1"/>
  <c r="J14" i="1"/>
  <c r="J41" i="1"/>
  <c r="J56" i="1"/>
  <c r="J48" i="1"/>
  <c r="J40" i="1"/>
  <c r="J32" i="1"/>
  <c r="J24" i="1"/>
  <c r="J15" i="1"/>
  <c r="J47" i="1"/>
  <c r="J39" i="1"/>
  <c r="J31" i="1"/>
  <c r="J23" i="1"/>
  <c r="J46" i="1"/>
  <c r="J30" i="1"/>
  <c r="J21" i="1"/>
  <c r="J49" i="1"/>
  <c r="J16" i="1"/>
  <c r="J52" i="1"/>
  <c r="J44" i="1"/>
  <c r="J36" i="1"/>
  <c r="J28" i="1"/>
  <c r="J19" i="1"/>
  <c r="J20" i="1"/>
  <c r="J59" i="1"/>
  <c r="J51" i="1"/>
  <c r="J43" i="1"/>
  <c r="J35" i="1"/>
  <c r="J27" i="1"/>
  <c r="J54" i="1"/>
  <c r="J38" i="1"/>
  <c r="J22" i="1"/>
  <c r="J13" i="1"/>
  <c r="J53" i="1"/>
  <c r="J45" i="1"/>
  <c r="J37" i="1"/>
  <c r="J29" i="1"/>
  <c r="J12" i="1"/>
  <c r="J18" i="1"/>
  <c r="I6" i="2"/>
  <c r="I15" i="2"/>
  <c r="M108" i="2" a="1"/>
  <c r="M108" i="2" s="1"/>
  <c r="AA12" i="1"/>
  <c r="AA20" i="1"/>
  <c r="AA16" i="1"/>
  <c r="AA13" i="1"/>
  <c r="AA15" i="1"/>
  <c r="AA14" i="1"/>
  <c r="AA17" i="1"/>
  <c r="AA19" i="1"/>
  <c r="AA18" i="1"/>
  <c r="D8" i="2"/>
  <c r="E8" i="2" s="1"/>
  <c r="D9" i="2"/>
  <c r="E9" i="2" s="1"/>
  <c r="AA57" i="1"/>
  <c r="AA32" i="1"/>
  <c r="AA47" i="1"/>
  <c r="I21" i="2"/>
  <c r="J21" i="2" s="1"/>
  <c r="I20" i="2"/>
  <c r="J20" i="2" s="1"/>
  <c r="D7" i="2" l="1"/>
  <c r="E7" i="2" s="1"/>
  <c r="AA45" i="1"/>
  <c r="AA48" i="1"/>
  <c r="AA35" i="1"/>
  <c r="AA21" i="1"/>
  <c r="I19" i="2"/>
  <c r="J19" i="2" s="1"/>
  <c r="AA41" i="1" l="1"/>
  <c r="AA42" i="1"/>
  <c r="AA58" i="1"/>
  <c r="AA28" i="1"/>
  <c r="AA44" i="1"/>
  <c r="AA30" i="1"/>
  <c r="AA49" i="1"/>
  <c r="AA38" i="1"/>
  <c r="AA36" i="1"/>
  <c r="AA46" i="1"/>
  <c r="AA52" i="1"/>
  <c r="AA55" i="1"/>
  <c r="AA31" i="1"/>
  <c r="AA27" i="1"/>
  <c r="AA53" i="1"/>
  <c r="AA51" i="1"/>
  <c r="AA50" i="1"/>
  <c r="AA24" i="1"/>
  <c r="AA29" i="1"/>
  <c r="AA37" i="1"/>
  <c r="AA59" i="1"/>
  <c r="AA22" i="1"/>
  <c r="AA33" i="1"/>
  <c r="AA39" i="1"/>
  <c r="AA56" i="1"/>
  <c r="AA26" i="1"/>
  <c r="AA25" i="1"/>
  <c r="AA34" i="1"/>
  <c r="AA23" i="1"/>
  <c r="AA40" i="1"/>
  <c r="AA54" i="1"/>
  <c r="AA43" i="1"/>
  <c r="D2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Giuliano Benicio Charra Marquez</author>
  </authors>
  <commentList>
    <comment ref="G5" authorId="0" shapeId="0" xr:uid="{E17A1066-9F68-444A-8840-8563E64F7382}">
      <text>
        <r>
          <rPr>
            <sz val="11"/>
            <color indexed="81"/>
            <rFont val="Tahoma"/>
            <family val="2"/>
          </rPr>
          <t xml:space="preserve">Las materias dependientes solo se mostrarán si la materia ha sido </t>
        </r>
        <r>
          <rPr>
            <b/>
            <sz val="11"/>
            <color indexed="81"/>
            <rFont val="Tahoma"/>
            <family val="2"/>
          </rPr>
          <t>seleccionada</t>
        </r>
        <r>
          <rPr>
            <sz val="11"/>
            <color indexed="81"/>
            <rFont val="Tahoma"/>
            <family val="2"/>
          </rPr>
          <t xml:space="preserve"> o su nombre ha sido </t>
        </r>
        <r>
          <rPr>
            <b/>
            <sz val="11"/>
            <color indexed="81"/>
            <rFont val="Tahoma"/>
            <family val="2"/>
          </rPr>
          <t>ingresado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manualmente.</t>
        </r>
      </text>
    </comment>
    <comment ref="G7" authorId="0" shapeId="0" xr:uid="{6FB26CE6-5F09-4617-A302-AFDBA124E222}">
      <text>
        <r>
          <rPr>
            <sz val="11"/>
            <color indexed="81"/>
            <rFont val="Tahoma"/>
            <family val="2"/>
          </rPr>
          <t xml:space="preserve">La </t>
        </r>
        <r>
          <rPr>
            <b/>
            <sz val="11"/>
            <color indexed="81"/>
            <rFont val="Tahoma"/>
            <family val="2"/>
          </rPr>
          <t>excepción de 30</t>
        </r>
        <r>
          <rPr>
            <sz val="11"/>
            <color indexed="81"/>
            <rFont val="Tahoma"/>
            <family val="2"/>
          </rPr>
          <t xml:space="preserve"> hs permite cursar materias sin considerar sus correlativas, siempre que la </t>
        </r>
        <r>
          <rPr>
            <b/>
            <sz val="11"/>
            <color indexed="81"/>
            <rFont val="Tahoma"/>
            <family val="2"/>
          </rPr>
          <t>suma</t>
        </r>
        <r>
          <rPr>
            <sz val="11"/>
            <color indexed="81"/>
            <rFont val="Tahoma"/>
            <family val="2"/>
          </rPr>
          <t xml:space="preserve"> de la </t>
        </r>
        <r>
          <rPr>
            <b/>
            <sz val="11"/>
            <color indexed="81"/>
            <rFont val="Tahoma"/>
            <family val="2"/>
          </rPr>
          <t>carga horaria semanal</t>
        </r>
        <r>
          <rPr>
            <sz val="11"/>
            <color indexed="81"/>
            <rFont val="Tahoma"/>
            <family val="2"/>
          </rPr>
          <t xml:space="preserve"> de las materias pendientes no supere la carga horaria total de quinto año.
</t>
        </r>
        <r>
          <rPr>
            <sz val="11"/>
            <color indexed="81"/>
            <rFont val="Tahoma"/>
            <family val="2"/>
          </rPr>
          <t xml:space="preserve">
Este cálculo es solo un estimado basado en la carga horaria actual y </t>
        </r>
        <r>
          <rPr>
            <b/>
            <sz val="11"/>
            <color indexed="81"/>
            <rFont val="Tahoma"/>
            <family val="2"/>
          </rPr>
          <t>NO garantiza</t>
        </r>
        <r>
          <rPr>
            <sz val="11"/>
            <color indexed="81"/>
            <rFont val="Tahoma"/>
            <family val="2"/>
          </rPr>
          <t xml:space="preserve"> la aprobación de la solicitud. Los horarios y requisitos pueden variar, por lo que la decisión final dependerá exclusivamente de la facultad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<sst xmlns="http://schemas.openxmlformats.org/spreadsheetml/2006/main" count="866" uniqueCount="138">
  <si>
    <t>Numero</t>
  </si>
  <si>
    <t>Materia</t>
  </si>
  <si>
    <t>Proyecto Final</t>
  </si>
  <si>
    <t>Modalidad</t>
  </si>
  <si>
    <t>Regular</t>
  </si>
  <si>
    <t>Para Cursar/Rendir</t>
  </si>
  <si>
    <t>A</t>
  </si>
  <si>
    <t>Leyenda</t>
  </si>
  <si>
    <t>CC</t>
  </si>
  <si>
    <t>Contra Cuatrimestre</t>
  </si>
  <si>
    <t>Anual</t>
  </si>
  <si>
    <t>Primer Cuatrimestre</t>
  </si>
  <si>
    <t>Segundo Cuatrimestre</t>
  </si>
  <si>
    <t>Aprobadas</t>
  </si>
  <si>
    <t>Regulares</t>
  </si>
  <si>
    <t>Aprobado</t>
  </si>
  <si>
    <t>1C</t>
  </si>
  <si>
    <t>2C</t>
  </si>
  <si>
    <t>1C - CC</t>
  </si>
  <si>
    <t>1C - 2C</t>
  </si>
  <si>
    <t>2C - CC</t>
  </si>
  <si>
    <t>Modalidades</t>
  </si>
  <si>
    <t>--</t>
  </si>
  <si>
    <t>Economía</t>
  </si>
  <si>
    <t>Legislación</t>
  </si>
  <si>
    <t>Ingeniería y Sociedad</t>
  </si>
  <si>
    <t>E-1</t>
  </si>
  <si>
    <t>E-2</t>
  </si>
  <si>
    <t>E-3</t>
  </si>
  <si>
    <t>E-4</t>
  </si>
  <si>
    <t>E-5</t>
  </si>
  <si>
    <t>E-6</t>
  </si>
  <si>
    <t>Nota</t>
  </si>
  <si>
    <t>Promedio</t>
  </si>
  <si>
    <t>Autor</t>
  </si>
  <si>
    <t>Puntos</t>
  </si>
  <si>
    <t>Analista</t>
  </si>
  <si>
    <t>Ingeniero</t>
  </si>
  <si>
    <t>Materias</t>
  </si>
  <si>
    <t>Creditos</t>
  </si>
  <si>
    <t>Regulaes</t>
  </si>
  <si>
    <t>R2</t>
  </si>
  <si>
    <t>R3</t>
  </si>
  <si>
    <t>R4</t>
  </si>
  <si>
    <t>A2</t>
  </si>
  <si>
    <t>A3</t>
  </si>
  <si>
    <t>A4</t>
  </si>
  <si>
    <t>R1</t>
  </si>
  <si>
    <t>A1</t>
  </si>
  <si>
    <t>Materias Faltantes Para Ingeniero</t>
  </si>
  <si>
    <t>Materias que podes cursar</t>
  </si>
  <si>
    <t>Total</t>
  </si>
  <si>
    <t xml:space="preserve">Total Materias </t>
  </si>
  <si>
    <t>Giuliano Charra Marquez</t>
  </si>
  <si>
    <t>Nivel</t>
  </si>
  <si>
    <t>Codigo</t>
  </si>
  <si>
    <t>Excepcion 30hs</t>
  </si>
  <si>
    <t>Faltan Cursar</t>
  </si>
  <si>
    <t>NO</t>
  </si>
  <si>
    <t>SI</t>
  </si>
  <si>
    <t>Cursar</t>
  </si>
  <si>
    <t>Icono</t>
  </si>
  <si>
    <t>Tipo</t>
  </si>
  <si>
    <t>Electiva</t>
  </si>
  <si>
    <t>Estado</t>
  </si>
  <si>
    <t>Datos listado materias desplegable</t>
  </si>
  <si>
    <t>HALLAR</t>
  </si>
  <si>
    <t>Carga Horaria</t>
  </si>
  <si>
    <t>FILTRAR</t>
  </si>
  <si>
    <t>1° Primero</t>
  </si>
  <si>
    <t>2° Segundo</t>
  </si>
  <si>
    <t>3° Tercero</t>
  </si>
  <si>
    <t>4° Cuarto</t>
  </si>
  <si>
    <t>5° Quinto</t>
  </si>
  <si>
    <t>Numero Materia Correlativas</t>
  </si>
  <si>
    <t>Numero Materia Dependientes</t>
  </si>
  <si>
    <t>Mostrar Correlativas</t>
  </si>
  <si>
    <t>Carga Horaria Faltante</t>
  </si>
  <si>
    <t>¿Puede Solicitar Excepción?</t>
  </si>
  <si>
    <t>Tramite Excepción Aceptada</t>
  </si>
  <si>
    <t>Año de Ingreso</t>
  </si>
  <si>
    <t>&lt;2023</t>
  </si>
  <si>
    <t>&gt;=2023</t>
  </si>
  <si>
    <t>Tabla de correlativas Ingresantes antes de 2023</t>
  </si>
  <si>
    <t>Tabla de correlativas Ingresantes a partir de 2023</t>
  </si>
  <si>
    <t>Libre/Falta Cursar</t>
  </si>
  <si>
    <t>Tabla de correlativas Gemeral</t>
  </si>
  <si>
    <t>ORDEN</t>
  </si>
  <si>
    <t>Álgebra y Geometría Analítica</t>
  </si>
  <si>
    <t>Química General</t>
  </si>
  <si>
    <t>Probabilidad y Estadística</t>
  </si>
  <si>
    <t>R5</t>
  </si>
  <si>
    <t>A5</t>
  </si>
  <si>
    <t>A6</t>
  </si>
  <si>
    <t>Sistemas de Representación</t>
  </si>
  <si>
    <t>Estabilidad</t>
  </si>
  <si>
    <t>Mecánica Técnica</t>
  </si>
  <si>
    <t>Instrumentos y Mediciones Eléctricas</t>
  </si>
  <si>
    <t>Teoría de los Campos</t>
  </si>
  <si>
    <t>Termodinámica</t>
  </si>
  <si>
    <t>Fundamentos Para el Análisis de Señales</t>
  </si>
  <si>
    <t>Control Automático</t>
  </si>
  <si>
    <t>Sistemas de Potencias</t>
  </si>
  <si>
    <t>Organización y Administración de Empresas</t>
  </si>
  <si>
    <t>Centrales y Protecciones Eléctricas</t>
  </si>
  <si>
    <t>Legislación Laboral</t>
  </si>
  <si>
    <t>Elementos de Máquinas y Tecnología Mecánica</t>
  </si>
  <si>
    <t>Fuentes no Convencionales de Energía</t>
  </si>
  <si>
    <t>Transmisión de Datos en Sistemas Eléctricos</t>
  </si>
  <si>
    <t>Fundamentos de Informática</t>
  </si>
  <si>
    <t>Cálculo Numérico</t>
  </si>
  <si>
    <t>Taller Interdisciplinario</t>
  </si>
  <si>
    <t>Seguridad, Riesgo Eléctrico y Ambiente</t>
  </si>
  <si>
    <t>Instalaciones Eléctricas y Luminotecnia</t>
  </si>
  <si>
    <t>Máquinas Térmicas, Hidráulicas y de Fluidos</t>
  </si>
  <si>
    <t>Accionamientos y Controles Eléctricos</t>
  </si>
  <si>
    <t>Prácticas Profesionales Supervisadas</t>
  </si>
  <si>
    <t>Tecnología y Ensayo de los Materiales Eléctricos</t>
  </si>
  <si>
    <t>Generación, Transmisión y Distribución de la Energía Eléctrica</t>
  </si>
  <si>
    <t>Impacto Ambiental de Líneas y Centrales Eléctricas</t>
  </si>
  <si>
    <t>A7</t>
  </si>
  <si>
    <t>Total (10)</t>
  </si>
  <si>
    <t>Ing. Electrica Plan de Estudio UTN FRC 2025</t>
  </si>
  <si>
    <t>Análisis Matemático 1</t>
  </si>
  <si>
    <t>Física 1</t>
  </si>
  <si>
    <t>Integración Eléctrica 1</t>
  </si>
  <si>
    <t>Física 2</t>
  </si>
  <si>
    <t>Electrotecnia 1</t>
  </si>
  <si>
    <t>Integración Eléctrica 2</t>
  </si>
  <si>
    <t>Análisis Matemático 2</t>
  </si>
  <si>
    <t>Inglés 1</t>
  </si>
  <si>
    <t>Física 3</t>
  </si>
  <si>
    <t>Máquinas Eléctricas 1</t>
  </si>
  <si>
    <t>Electrotecnia 2</t>
  </si>
  <si>
    <t>Inglés 2</t>
  </si>
  <si>
    <t>Electrónica 1</t>
  </si>
  <si>
    <t>Electrónica 2</t>
  </si>
  <si>
    <t>Máquinas Eléctricas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</si>
</sst>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2"/>
      <color theme="0" tint="-4.9989318521683403E-2"/>
      <name val="Calibri"/>
      <family val="2"/>
      <scheme val="minor"/>
    </font>
    <font>
      <sz val="18"/>
      <color theme="0" tint="-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b/>
      <sz val="16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theme="8"/>
      </patternFill>
    </fill>
    <fill>
      <patternFill patternType="solid">
        <fgColor rgb="FFF55D5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F5F5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AB0B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3" fillId="0" borderId="0" applyFont="0" applyFill="0" applyBorder="0" applyAlignment="0" applyProtection="0"/>
  </cellStyleXfs>
  <cellXfs count="304">
    <xf numFmtId="0" fontId="0" fillId="0" borderId="0" xfId="0"/>
    <xf numFmtId="0" fontId="5" fillId="0" borderId="0" xfId="0" applyFont="1" applyAlignment="1">
      <alignment horizontal="center"/>
    </xf>
    <xf numFmtId="0" fontId="0" fillId="0" borderId="4" xfId="0" applyBorder="1"/>
    <xf numFmtId="0" fontId="0" fillId="0" borderId="19" xfId="0" applyBorder="1"/>
    <xf numFmtId="0" fontId="0" fillId="0" borderId="6" xfId="0" applyBorder="1"/>
    <xf numFmtId="0" fontId="0" fillId="0" borderId="18" xfId="0" applyBorder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5" fillId="0" borderId="0" xfId="0" applyFont="1"/>
    <xf numFmtId="0" fontId="10" fillId="0" borderId="0" xfId="0" applyFont="1"/>
    <xf numFmtId="0" fontId="5" fillId="16" borderId="0" xfId="3" applyFont="1" applyFill="1" applyBorder="1" applyAlignment="1">
      <alignment horizontal="center" vertical="center"/>
    </xf>
    <xf numFmtId="0" fontId="15" fillId="0" borderId="0" xfId="0" applyFont="1"/>
    <xf numFmtId="0" fontId="5" fillId="14" borderId="0" xfId="2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Fill="1"/>
    <xf numFmtId="0" fontId="0" fillId="0" borderId="27" xfId="0" applyBorder="1"/>
    <xf numFmtId="0" fontId="5" fillId="15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28" xfId="0" applyBorder="1"/>
    <xf numFmtId="0" fontId="0" fillId="0" borderId="11" xfId="0" applyBorder="1"/>
    <xf numFmtId="0" fontId="0" fillId="0" borderId="29" xfId="0" applyBorder="1"/>
    <xf numFmtId="0" fontId="0" fillId="0" borderId="27" xfId="0" applyBorder="1" applyAlignment="1">
      <alignment horizontal="center" vertical="center"/>
    </xf>
    <xf numFmtId="0" fontId="0" fillId="0" borderId="20" xfId="0" applyBorder="1"/>
    <xf numFmtId="0" fontId="0" fillId="0" borderId="22" xfId="0" applyBorder="1"/>
    <xf numFmtId="0" fontId="0" fillId="0" borderId="30" xfId="0" applyBorder="1"/>
    <xf numFmtId="0" fontId="17" fillId="0" borderId="31" xfId="0" applyFont="1" applyBorder="1" applyAlignment="1" applyProtection="1">
      <alignment horizontal="center" vertical="center"/>
      <protection locked="0"/>
    </xf>
    <xf numFmtId="0" fontId="0" fillId="0" borderId="31" xfId="0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7" fillId="0" borderId="0" xfId="0" applyFont="1" applyAlignment="1">
      <alignment horizontal="right" vertical="center"/>
    </xf>
    <xf numFmtId="0" fontId="5" fillId="0" borderId="0" xfId="0" applyFont="1" applyBorder="1" applyAlignment="1">
      <alignment horizontal="center"/>
    </xf>
    <xf numFmtId="0" fontId="0" fillId="0" borderId="5" xfId="0" applyBorder="1"/>
    <xf numFmtId="0" fontId="4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17" fillId="0" borderId="0" xfId="0" applyFont="1" applyFill="1" applyBorder="1" applyAlignment="1">
      <alignment horizontal="center" vertical="center" wrapText="1"/>
    </xf>
    <xf numFmtId="0" fontId="5" fillId="20" borderId="0" xfId="0" applyFont="1" applyFill="1" applyBorder="1" applyAlignment="1">
      <alignment horizontal="center" vertical="center"/>
    </xf>
    <xf numFmtId="0" fontId="5" fillId="21" borderId="0" xfId="1" applyFont="1" applyFill="1" applyBorder="1" applyAlignment="1">
      <alignment horizontal="center" vertical="center"/>
    </xf>
    <xf numFmtId="0" fontId="5" fillId="17" borderId="0" xfId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3" fillId="22" borderId="34" xfId="0" applyFont="1" applyFill="1" applyBorder="1"/>
    <xf numFmtId="0" fontId="0" fillId="0" borderId="34" xfId="0" applyFont="1" applyBorder="1"/>
    <xf numFmtId="0" fontId="0" fillId="0" borderId="0" xfId="0" applyAlignment="1">
      <alignment horizontal="left" vertical="center"/>
    </xf>
    <xf numFmtId="0" fontId="1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4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24" borderId="33" xfId="0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25" borderId="5" xfId="0" applyFont="1" applyFill="1" applyBorder="1" applyAlignment="1">
      <alignment horizontal="center" vertical="center" wrapText="1"/>
    </xf>
    <xf numFmtId="0" fontId="17" fillId="23" borderId="33" xfId="0" applyFont="1" applyFill="1" applyBorder="1" applyAlignment="1">
      <alignment horizontal="center" vertical="center" wrapText="1"/>
    </xf>
    <xf numFmtId="0" fontId="16" fillId="23" borderId="3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Font="1" applyBorder="1"/>
    <xf numFmtId="0" fontId="0" fillId="0" borderId="3" xfId="0" applyBorder="1" applyAlignment="1">
      <alignment horizontal="center" vertical="center"/>
    </xf>
    <xf numFmtId="0" fontId="5" fillId="16" borderId="0" xfId="3" applyFont="1" applyFill="1" applyBorder="1" applyAlignment="1">
      <alignment horizontal="left" vertical="center" wrapText="1"/>
    </xf>
    <xf numFmtId="0" fontId="5" fillId="14" borderId="0" xfId="2" applyFont="1" applyFill="1" applyBorder="1" applyAlignment="1">
      <alignment horizontal="left" vertical="center" wrapText="1"/>
    </xf>
    <xf numFmtId="0" fontId="16" fillId="17" borderId="0" xfId="1" applyFont="1" applyFill="1" applyBorder="1" applyAlignment="1">
      <alignment horizontal="left" vertical="center" wrapText="1"/>
    </xf>
    <xf numFmtId="0" fontId="5" fillId="17" borderId="0" xfId="1" applyFont="1" applyFill="1" applyBorder="1" applyAlignment="1">
      <alignment horizontal="left" vertical="center" wrapText="1"/>
    </xf>
    <xf numFmtId="0" fontId="5" fillId="21" borderId="0" xfId="1" applyFont="1" applyFill="1" applyBorder="1" applyAlignment="1">
      <alignment horizontal="left" vertical="center" wrapText="1"/>
    </xf>
    <xf numFmtId="0" fontId="5" fillId="15" borderId="0" xfId="0" applyFont="1" applyFill="1" applyBorder="1" applyAlignment="1">
      <alignment horizontal="left" vertical="center" wrapText="1"/>
    </xf>
    <xf numFmtId="0" fontId="5" fillId="20" borderId="0" xfId="0" applyFont="1" applyFill="1" applyBorder="1" applyAlignment="1">
      <alignment horizontal="left" vertical="center" wrapText="1"/>
    </xf>
    <xf numFmtId="0" fontId="5" fillId="16" borderId="15" xfId="3" applyFont="1" applyFill="1" applyBorder="1" applyAlignment="1">
      <alignment horizontal="center" vertical="center"/>
    </xf>
    <xf numFmtId="0" fontId="5" fillId="16" borderId="10" xfId="3" applyFont="1" applyFill="1" applyBorder="1" applyAlignment="1">
      <alignment horizontal="center" vertical="center"/>
    </xf>
    <xf numFmtId="0" fontId="5" fillId="6" borderId="23" xfId="2" applyFont="1" applyFill="1" applyBorder="1" applyAlignment="1">
      <alignment horizontal="center" vertical="center"/>
    </xf>
    <xf numFmtId="0" fontId="5" fillId="16" borderId="11" xfId="3" applyFont="1" applyFill="1" applyBorder="1" applyAlignment="1">
      <alignment horizontal="center" vertical="center"/>
    </xf>
    <xf numFmtId="0" fontId="5" fillId="14" borderId="21" xfId="2" applyFont="1" applyFill="1" applyBorder="1" applyAlignment="1">
      <alignment horizontal="center" vertical="center"/>
    </xf>
    <xf numFmtId="0" fontId="5" fillId="14" borderId="22" xfId="2" applyFont="1" applyFill="1" applyBorder="1" applyAlignment="1">
      <alignment horizontal="center" vertical="center"/>
    </xf>
    <xf numFmtId="0" fontId="5" fillId="14" borderId="25" xfId="2" applyFont="1" applyFill="1" applyBorder="1" applyAlignment="1">
      <alignment horizontal="center" vertical="center"/>
    </xf>
    <xf numFmtId="0" fontId="5" fillId="17" borderId="15" xfId="2" applyFont="1" applyFill="1" applyBorder="1" applyAlignment="1">
      <alignment horizontal="center" vertical="center"/>
    </xf>
    <xf numFmtId="0" fontId="5" fillId="17" borderId="10" xfId="2" applyFont="1" applyFill="1" applyBorder="1" applyAlignment="1">
      <alignment horizontal="center" vertical="center"/>
    </xf>
    <xf numFmtId="0" fontId="5" fillId="17" borderId="23" xfId="2" applyFont="1" applyFill="1" applyBorder="1" applyAlignment="1">
      <alignment horizontal="center" vertical="center"/>
    </xf>
    <xf numFmtId="0" fontId="5" fillId="21" borderId="4" xfId="2" applyFont="1" applyFill="1" applyBorder="1" applyAlignment="1">
      <alignment horizontal="center" vertical="center"/>
    </xf>
    <xf numFmtId="0" fontId="5" fillId="21" borderId="0" xfId="2" applyFont="1" applyFill="1" applyBorder="1" applyAlignment="1">
      <alignment horizontal="center" vertical="center"/>
    </xf>
    <xf numFmtId="0" fontId="5" fillId="21" borderId="19" xfId="2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9" fontId="5" fillId="0" borderId="0" xfId="4" applyFont="1" applyAlignment="1">
      <alignment vertical="center"/>
    </xf>
    <xf numFmtId="0" fontId="0" fillId="0" borderId="29" xfId="0" applyBorder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Fill="1" applyAlignment="1">
      <alignment vertical="center"/>
    </xf>
    <xf numFmtId="0" fontId="23" fillId="5" borderId="38" xfId="0" applyFont="1" applyFill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5" fillId="15" borderId="4" xfId="2" applyFont="1" applyFill="1" applyBorder="1" applyAlignment="1">
      <alignment horizontal="center" vertical="center"/>
    </xf>
    <xf numFmtId="0" fontId="5" fillId="15" borderId="0" xfId="2" applyFont="1" applyFill="1" applyBorder="1" applyAlignment="1">
      <alignment horizontal="center" vertical="center"/>
    </xf>
    <xf numFmtId="0" fontId="5" fillId="14" borderId="19" xfId="2" applyFont="1" applyFill="1" applyBorder="1" applyAlignment="1">
      <alignment horizontal="center" vertical="center"/>
    </xf>
    <xf numFmtId="0" fontId="5" fillId="20" borderId="19" xfId="2" applyFont="1" applyFill="1" applyBorder="1" applyAlignment="1">
      <alignment horizontal="center" vertical="center"/>
    </xf>
    <xf numFmtId="0" fontId="5" fillId="16" borderId="19" xfId="3" applyFont="1" applyFill="1" applyBorder="1" applyAlignment="1">
      <alignment horizontal="center" vertical="center"/>
    </xf>
    <xf numFmtId="0" fontId="5" fillId="15" borderId="19" xfId="2" applyFont="1" applyFill="1" applyBorder="1" applyAlignment="1">
      <alignment horizontal="center" vertical="center"/>
    </xf>
    <xf numFmtId="0" fontId="5" fillId="17" borderId="19" xfId="2" applyFont="1" applyFill="1" applyBorder="1" applyAlignment="1">
      <alignment horizontal="center" vertical="center"/>
    </xf>
    <xf numFmtId="0" fontId="5" fillId="6" borderId="25" xfId="2" applyFont="1" applyFill="1" applyBorder="1" applyAlignment="1">
      <alignment horizontal="center" vertical="center"/>
    </xf>
    <xf numFmtId="0" fontId="5" fillId="6" borderId="39" xfId="2" applyFont="1" applyFill="1" applyBorder="1" applyAlignment="1">
      <alignment horizontal="center" vertical="center"/>
    </xf>
    <xf numFmtId="0" fontId="5" fillId="6" borderId="0" xfId="2" applyFont="1" applyFill="1" applyBorder="1" applyAlignment="1">
      <alignment horizontal="center" vertical="center"/>
    </xf>
    <xf numFmtId="0" fontId="5" fillId="6" borderId="26" xfId="2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14" fillId="0" borderId="0" xfId="0" applyFont="1" applyFill="1" applyAlignment="1">
      <alignment vertical="center"/>
    </xf>
    <xf numFmtId="0" fontId="5" fillId="16" borderId="0" xfId="3" applyFont="1" applyFill="1" applyBorder="1" applyAlignment="1" applyProtection="1">
      <alignment horizontal="center" vertical="center"/>
      <protection locked="0"/>
    </xf>
    <xf numFmtId="0" fontId="5" fillId="14" borderId="0" xfId="2" applyFont="1" applyFill="1" applyBorder="1" applyAlignment="1" applyProtection="1">
      <alignment horizontal="center" vertical="center"/>
      <protection locked="0"/>
    </xf>
    <xf numFmtId="0" fontId="5" fillId="17" borderId="0" xfId="1" applyFont="1" applyFill="1" applyBorder="1" applyAlignment="1" applyProtection="1">
      <alignment horizontal="center" vertical="center"/>
      <protection locked="0"/>
    </xf>
    <xf numFmtId="0" fontId="5" fillId="21" borderId="0" xfId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vertical="center"/>
    </xf>
    <xf numFmtId="0" fontId="5" fillId="0" borderId="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14" borderId="4" xfId="2" applyFont="1" applyFill="1" applyBorder="1" applyAlignment="1">
      <alignment horizontal="center" vertical="center"/>
    </xf>
    <xf numFmtId="0" fontId="5" fillId="16" borderId="2" xfId="3" applyFont="1" applyFill="1" applyBorder="1" applyAlignment="1">
      <alignment horizontal="center" vertical="center"/>
    </xf>
    <xf numFmtId="0" fontId="5" fillId="20" borderId="22" xfId="2" applyFont="1" applyFill="1" applyBorder="1" applyAlignment="1">
      <alignment horizontal="center" vertical="center"/>
    </xf>
    <xf numFmtId="0" fontId="5" fillId="16" borderId="3" xfId="3" applyFont="1" applyFill="1" applyBorder="1" applyAlignment="1">
      <alignment horizontal="center" vertical="center"/>
    </xf>
    <xf numFmtId="0" fontId="5" fillId="20" borderId="21" xfId="2" applyFont="1" applyFill="1" applyBorder="1" applyAlignment="1">
      <alignment horizontal="center" vertical="center"/>
    </xf>
    <xf numFmtId="0" fontId="5" fillId="14" borderId="6" xfId="2" applyFont="1" applyFill="1" applyBorder="1" applyAlignment="1">
      <alignment horizontal="center" vertical="center"/>
    </xf>
    <xf numFmtId="0" fontId="5" fillId="16" borderId="6" xfId="3" applyFont="1" applyFill="1" applyBorder="1" applyAlignment="1">
      <alignment horizontal="center" vertical="center"/>
    </xf>
    <xf numFmtId="0" fontId="5" fillId="16" borderId="2" xfId="3" applyFont="1" applyFill="1" applyBorder="1" applyAlignment="1">
      <alignment horizontal="left" vertical="center" wrapText="1"/>
    </xf>
    <xf numFmtId="0" fontId="5" fillId="16" borderId="6" xfId="3" applyFont="1" applyFill="1" applyBorder="1" applyAlignment="1">
      <alignment horizontal="left" vertical="center" wrapText="1"/>
    </xf>
    <xf numFmtId="0" fontId="5" fillId="16" borderId="2" xfId="3" applyFont="1" applyFill="1" applyBorder="1" applyAlignment="1" applyProtection="1">
      <alignment horizontal="center" vertical="center"/>
      <protection locked="0"/>
    </xf>
    <xf numFmtId="0" fontId="5" fillId="14" borderId="6" xfId="2" applyFont="1" applyFill="1" applyBorder="1" applyAlignment="1" applyProtection="1">
      <alignment horizontal="center" vertical="center"/>
      <protection locked="0"/>
    </xf>
    <xf numFmtId="0" fontId="5" fillId="16" borderId="6" xfId="3" applyFont="1" applyFill="1" applyBorder="1" applyAlignment="1" applyProtection="1">
      <alignment horizontal="center" vertical="center"/>
      <protection locked="0"/>
    </xf>
    <xf numFmtId="0" fontId="5" fillId="16" borderId="2" xfId="3" quotePrefix="1" applyFont="1" applyFill="1" applyBorder="1" applyAlignment="1">
      <alignment horizontal="center" vertical="center" wrapText="1"/>
    </xf>
    <xf numFmtId="0" fontId="5" fillId="16" borderId="13" xfId="3" applyFont="1" applyFill="1" applyBorder="1" applyAlignment="1">
      <alignment horizontal="center" vertical="center"/>
    </xf>
    <xf numFmtId="0" fontId="5" fillId="16" borderId="14" xfId="3" applyFont="1" applyFill="1" applyBorder="1" applyAlignment="1">
      <alignment horizontal="center" vertical="center"/>
    </xf>
    <xf numFmtId="0" fontId="5" fillId="20" borderId="25" xfId="2" applyFont="1" applyFill="1" applyBorder="1" applyAlignment="1">
      <alignment horizontal="center" vertical="center"/>
    </xf>
    <xf numFmtId="0" fontId="5" fillId="14" borderId="18" xfId="2" applyFont="1" applyFill="1" applyBorder="1" applyAlignment="1">
      <alignment horizontal="center" vertical="center"/>
    </xf>
    <xf numFmtId="0" fontId="5" fillId="16" borderId="18" xfId="3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6" fillId="5" borderId="7" xfId="0" applyFont="1" applyFill="1" applyBorder="1" applyAlignment="1">
      <alignment horizontal="center" vertical="top" wrapText="1"/>
    </xf>
    <xf numFmtId="0" fontId="6" fillId="5" borderId="0" xfId="0" applyFont="1" applyFill="1" applyBorder="1" applyAlignment="1">
      <alignment horizontal="center" vertical="top" wrapText="1"/>
    </xf>
    <xf numFmtId="0" fontId="6" fillId="5" borderId="4" xfId="0" applyFont="1" applyFill="1" applyBorder="1" applyAlignment="1">
      <alignment horizontal="center" vertical="top" wrapText="1"/>
    </xf>
    <xf numFmtId="0" fontId="13" fillId="9" borderId="0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1" fontId="5" fillId="16" borderId="2" xfId="3" applyNumberFormat="1" applyFont="1" applyFill="1" applyBorder="1" applyAlignment="1">
      <alignment horizontal="center" vertical="center"/>
    </xf>
    <xf numFmtId="1" fontId="5" fillId="16" borderId="0" xfId="3" applyNumberFormat="1" applyFont="1" applyFill="1" applyBorder="1" applyAlignment="1">
      <alignment horizontal="center" vertical="center"/>
    </xf>
    <xf numFmtId="1" fontId="5" fillId="16" borderId="6" xfId="3" applyNumberFormat="1" applyFont="1" applyFill="1" applyBorder="1" applyAlignment="1">
      <alignment horizontal="center" vertical="center"/>
    </xf>
    <xf numFmtId="1" fontId="5" fillId="14" borderId="0" xfId="2" applyNumberFormat="1" applyFont="1" applyFill="1" applyBorder="1" applyAlignment="1">
      <alignment horizontal="center" vertical="center"/>
    </xf>
    <xf numFmtId="1" fontId="5" fillId="17" borderId="0" xfId="1" applyNumberFormat="1" applyFont="1" applyFill="1" applyBorder="1" applyAlignment="1">
      <alignment horizontal="center" vertical="center"/>
    </xf>
    <xf numFmtId="1" fontId="5" fillId="21" borderId="0" xfId="1" applyNumberFormat="1" applyFont="1" applyFill="1" applyBorder="1" applyAlignment="1">
      <alignment horizontal="center" vertical="center"/>
    </xf>
    <xf numFmtId="1" fontId="5" fillId="15" borderId="0" xfId="0" applyNumberFormat="1" applyFont="1" applyFill="1" applyBorder="1" applyAlignment="1">
      <alignment horizontal="center" vertical="center"/>
    </xf>
    <xf numFmtId="1" fontId="5" fillId="20" borderId="0" xfId="0" applyNumberFormat="1" applyFont="1" applyFill="1" applyBorder="1" applyAlignment="1">
      <alignment horizontal="center" vertical="center"/>
    </xf>
    <xf numFmtId="1" fontId="5" fillId="16" borderId="2" xfId="3" applyNumberFormat="1" applyFont="1" applyFill="1" applyBorder="1" applyAlignment="1" applyProtection="1">
      <alignment horizontal="center" vertical="center"/>
      <protection locked="0"/>
    </xf>
    <xf numFmtId="1" fontId="5" fillId="16" borderId="0" xfId="3" applyNumberFormat="1" applyFont="1" applyFill="1" applyBorder="1" applyAlignment="1" applyProtection="1">
      <alignment horizontal="center" vertical="center"/>
      <protection locked="0"/>
    </xf>
    <xf numFmtId="1" fontId="5" fillId="16" borderId="6" xfId="3" applyNumberFormat="1" applyFont="1" applyFill="1" applyBorder="1" applyAlignment="1" applyProtection="1">
      <alignment horizontal="center" vertical="center"/>
      <protection locked="0"/>
    </xf>
    <xf numFmtId="1" fontId="5" fillId="14" borderId="0" xfId="2" applyNumberFormat="1" applyFont="1" applyFill="1" applyBorder="1" applyAlignment="1" applyProtection="1">
      <alignment horizontal="center" vertical="center"/>
      <protection locked="0"/>
    </xf>
    <xf numFmtId="1" fontId="5" fillId="14" borderId="6" xfId="2" applyNumberFormat="1" applyFont="1" applyFill="1" applyBorder="1" applyAlignment="1" applyProtection="1">
      <alignment horizontal="center" vertical="center"/>
      <protection locked="0"/>
    </xf>
    <xf numFmtId="1" fontId="5" fillId="17" borderId="0" xfId="1" applyNumberFormat="1" applyFont="1" applyFill="1" applyBorder="1" applyAlignment="1" applyProtection="1">
      <alignment horizontal="center" vertical="center"/>
      <protection locked="0"/>
    </xf>
    <xf numFmtId="1" fontId="5" fillId="21" borderId="0" xfId="1" applyNumberFormat="1" applyFont="1" applyFill="1" applyBorder="1" applyAlignment="1" applyProtection="1">
      <alignment horizontal="center" vertical="center"/>
      <protection locked="0"/>
    </xf>
    <xf numFmtId="1" fontId="5" fillId="15" borderId="0" xfId="0" applyNumberFormat="1" applyFont="1" applyFill="1" applyBorder="1" applyAlignment="1" applyProtection="1">
      <alignment horizontal="center" vertical="center"/>
      <protection locked="0"/>
    </xf>
    <xf numFmtId="1" fontId="5" fillId="20" borderId="0" xfId="0" applyNumberFormat="1" applyFont="1" applyFill="1" applyBorder="1" applyAlignment="1" applyProtection="1">
      <alignment horizontal="center" vertical="center"/>
      <protection locked="0"/>
    </xf>
    <xf numFmtId="1" fontId="5" fillId="14" borderId="6" xfId="2" applyNumberFormat="1" applyFont="1" applyFill="1" applyBorder="1" applyAlignment="1">
      <alignment horizontal="center" vertical="center"/>
    </xf>
    <xf numFmtId="0" fontId="0" fillId="0" borderId="0" xfId="0" applyNumberFormat="1"/>
    <xf numFmtId="0" fontId="5" fillId="17" borderId="6" xfId="1" applyFont="1" applyFill="1" applyBorder="1" applyAlignment="1">
      <alignment horizontal="center" vertical="center"/>
    </xf>
    <xf numFmtId="1" fontId="5" fillId="17" borderId="6" xfId="1" applyNumberFormat="1" applyFont="1" applyFill="1" applyBorder="1" applyAlignment="1">
      <alignment horizontal="center" vertical="center"/>
    </xf>
    <xf numFmtId="0" fontId="5" fillId="17" borderId="6" xfId="1" applyFont="1" applyFill="1" applyBorder="1" applyAlignment="1">
      <alignment horizontal="left" vertical="center" wrapText="1"/>
    </xf>
    <xf numFmtId="0" fontId="5" fillId="17" borderId="6" xfId="1" applyFont="1" applyFill="1" applyBorder="1" applyAlignment="1" applyProtection="1">
      <alignment horizontal="center" vertical="center"/>
      <protection locked="0"/>
    </xf>
    <xf numFmtId="1" fontId="5" fillId="17" borderId="6" xfId="1" applyNumberFormat="1" applyFont="1" applyFill="1" applyBorder="1" applyAlignment="1" applyProtection="1">
      <alignment horizontal="center" vertical="center"/>
      <protection locked="0"/>
    </xf>
    <xf numFmtId="0" fontId="5" fillId="17" borderId="16" xfId="2" applyFont="1" applyFill="1" applyBorder="1" applyAlignment="1">
      <alignment horizontal="center" vertical="center"/>
    </xf>
    <xf numFmtId="0" fontId="5" fillId="17" borderId="17" xfId="2" applyFont="1" applyFill="1" applyBorder="1" applyAlignment="1">
      <alignment horizontal="center" vertical="center"/>
    </xf>
    <xf numFmtId="0" fontId="5" fillId="17" borderId="24" xfId="2" applyFont="1" applyFill="1" applyBorder="1" applyAlignment="1">
      <alignment horizontal="center" vertical="center"/>
    </xf>
    <xf numFmtId="0" fontId="5" fillId="17" borderId="18" xfId="2" applyFont="1" applyFill="1" applyBorder="1" applyAlignment="1">
      <alignment horizontal="center" vertical="center"/>
    </xf>
    <xf numFmtId="0" fontId="5" fillId="6" borderId="6" xfId="2" applyFont="1" applyFill="1" applyBorder="1" applyAlignment="1">
      <alignment horizontal="center" vertical="center"/>
    </xf>
    <xf numFmtId="0" fontId="5" fillId="6" borderId="18" xfId="2" applyFont="1" applyFill="1" applyBorder="1" applyAlignment="1">
      <alignment horizontal="center" vertical="center"/>
    </xf>
    <xf numFmtId="0" fontId="5" fillId="16" borderId="16" xfId="3" applyFont="1" applyFill="1" applyBorder="1" applyAlignment="1">
      <alignment horizontal="center" vertical="center"/>
    </xf>
    <xf numFmtId="0" fontId="5" fillId="16" borderId="17" xfId="3" applyFont="1" applyFill="1" applyBorder="1" applyAlignment="1">
      <alignment horizontal="center" vertical="center"/>
    </xf>
    <xf numFmtId="0" fontId="5" fillId="17" borderId="21" xfId="2" applyFont="1" applyFill="1" applyBorder="1" applyAlignment="1">
      <alignment horizontal="center" vertical="center"/>
    </xf>
    <xf numFmtId="0" fontId="5" fillId="17" borderId="22" xfId="2" applyFont="1" applyFill="1" applyBorder="1" applyAlignment="1">
      <alignment horizontal="center" vertical="center"/>
    </xf>
    <xf numFmtId="0" fontId="5" fillId="17" borderId="25" xfId="2" applyFont="1" applyFill="1" applyBorder="1" applyAlignment="1">
      <alignment horizontal="center" vertical="center"/>
    </xf>
    <xf numFmtId="0" fontId="5" fillId="6" borderId="24" xfId="2" applyFont="1" applyFill="1" applyBorder="1" applyAlignment="1">
      <alignment horizontal="center" vertical="center"/>
    </xf>
    <xf numFmtId="0" fontId="5" fillId="21" borderId="6" xfId="1" applyFont="1" applyFill="1" applyBorder="1" applyAlignment="1">
      <alignment horizontal="center" vertical="center"/>
    </xf>
    <xf numFmtId="1" fontId="5" fillId="21" borderId="6" xfId="1" applyNumberFormat="1" applyFont="1" applyFill="1" applyBorder="1" applyAlignment="1">
      <alignment horizontal="center" vertical="center"/>
    </xf>
    <xf numFmtId="0" fontId="5" fillId="21" borderId="6" xfId="1" applyFont="1" applyFill="1" applyBorder="1" applyAlignment="1">
      <alignment horizontal="left" vertical="center" wrapText="1"/>
    </xf>
    <xf numFmtId="0" fontId="5" fillId="21" borderId="6" xfId="1" applyFont="1" applyFill="1" applyBorder="1" applyAlignment="1" applyProtection="1">
      <alignment horizontal="center" vertical="center"/>
      <protection locked="0"/>
    </xf>
    <xf numFmtId="1" fontId="5" fillId="21" borderId="6" xfId="1" applyNumberFormat="1" applyFont="1" applyFill="1" applyBorder="1" applyAlignment="1" applyProtection="1">
      <alignment horizontal="center" vertical="center"/>
      <protection locked="0"/>
    </xf>
    <xf numFmtId="0" fontId="5" fillId="21" borderId="5" xfId="2" applyFont="1" applyFill="1" applyBorder="1" applyAlignment="1">
      <alignment horizontal="center" vertical="center"/>
    </xf>
    <xf numFmtId="0" fontId="5" fillId="21" borderId="6" xfId="2" applyFont="1" applyFill="1" applyBorder="1" applyAlignment="1">
      <alignment horizontal="center" vertical="center"/>
    </xf>
    <xf numFmtId="0" fontId="5" fillId="21" borderId="18" xfId="2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4" fillId="5" borderId="38" xfId="0" applyFont="1" applyFill="1" applyBorder="1" applyAlignment="1">
      <alignment horizontal="center" vertical="center" wrapText="1"/>
    </xf>
    <xf numFmtId="0" fontId="5" fillId="16" borderId="2" xfId="3" applyFont="1" applyFill="1" applyBorder="1" applyAlignment="1">
      <alignment horizontal="left" vertical="center"/>
    </xf>
    <xf numFmtId="0" fontId="5" fillId="16" borderId="0" xfId="3" applyFont="1" applyFill="1" applyBorder="1" applyAlignment="1">
      <alignment horizontal="left" vertical="center"/>
    </xf>
    <xf numFmtId="0" fontId="5" fillId="16" borderId="6" xfId="3" applyFont="1" applyFill="1" applyBorder="1" applyAlignment="1">
      <alignment horizontal="left" vertical="center"/>
    </xf>
    <xf numFmtId="0" fontId="5" fillId="14" borderId="0" xfId="2" applyFont="1" applyFill="1" applyBorder="1" applyAlignment="1">
      <alignment horizontal="left" vertical="center"/>
    </xf>
    <xf numFmtId="0" fontId="5" fillId="14" borderId="6" xfId="2" applyFont="1" applyFill="1" applyBorder="1" applyAlignment="1">
      <alignment horizontal="left" vertical="center"/>
    </xf>
    <xf numFmtId="0" fontId="5" fillId="17" borderId="0" xfId="1" applyFont="1" applyFill="1" applyBorder="1" applyAlignment="1">
      <alignment horizontal="left" vertical="center"/>
    </xf>
    <xf numFmtId="0" fontId="5" fillId="17" borderId="6" xfId="1" applyFont="1" applyFill="1" applyBorder="1" applyAlignment="1">
      <alignment horizontal="left" vertical="center"/>
    </xf>
    <xf numFmtId="0" fontId="5" fillId="21" borderId="0" xfId="1" applyFont="1" applyFill="1" applyBorder="1" applyAlignment="1">
      <alignment horizontal="left" vertical="center"/>
    </xf>
    <xf numFmtId="0" fontId="5" fillId="21" borderId="6" xfId="1" applyFont="1" applyFill="1" applyBorder="1" applyAlignment="1">
      <alignment horizontal="left" vertical="center"/>
    </xf>
    <xf numFmtId="0" fontId="5" fillId="15" borderId="0" xfId="0" applyFont="1" applyFill="1" applyBorder="1" applyAlignment="1">
      <alignment horizontal="left" vertical="center"/>
    </xf>
    <xf numFmtId="0" fontId="5" fillId="20" borderId="0" xfId="0" applyFont="1" applyFill="1" applyBorder="1" applyAlignment="1">
      <alignment horizontal="left" vertical="center"/>
    </xf>
    <xf numFmtId="0" fontId="5" fillId="15" borderId="26" xfId="0" applyFont="1" applyFill="1" applyBorder="1" applyAlignment="1">
      <alignment horizontal="center" vertical="center"/>
    </xf>
    <xf numFmtId="1" fontId="5" fillId="15" borderId="26" xfId="0" applyNumberFormat="1" applyFont="1" applyFill="1" applyBorder="1" applyAlignment="1">
      <alignment horizontal="center" vertical="center"/>
    </xf>
    <xf numFmtId="0" fontId="5" fillId="15" borderId="26" xfId="0" applyFont="1" applyFill="1" applyBorder="1" applyAlignment="1">
      <alignment horizontal="left" vertical="center"/>
    </xf>
    <xf numFmtId="0" fontId="5" fillId="15" borderId="26" xfId="0" applyFont="1" applyFill="1" applyBorder="1" applyAlignment="1">
      <alignment horizontal="left" vertical="center" wrapText="1"/>
    </xf>
    <xf numFmtId="0" fontId="5" fillId="15" borderId="26" xfId="0" applyFont="1" applyFill="1" applyBorder="1" applyAlignment="1" applyProtection="1">
      <alignment horizontal="center" vertical="center"/>
      <protection locked="0"/>
    </xf>
    <xf numFmtId="1" fontId="5" fillId="15" borderId="26" xfId="0" applyNumberFormat="1" applyFont="1" applyFill="1" applyBorder="1" applyAlignment="1" applyProtection="1">
      <alignment horizontal="center" vertical="center"/>
      <protection locked="0"/>
    </xf>
    <xf numFmtId="0" fontId="5" fillId="15" borderId="41" xfId="2" applyFont="1" applyFill="1" applyBorder="1" applyAlignment="1">
      <alignment horizontal="center" vertical="center"/>
    </xf>
    <xf numFmtId="0" fontId="5" fillId="15" borderId="26" xfId="2" applyFont="1" applyFill="1" applyBorder="1" applyAlignment="1">
      <alignment horizontal="center" vertical="center"/>
    </xf>
    <xf numFmtId="0" fontId="5" fillId="15" borderId="40" xfId="2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 wrapText="1"/>
    </xf>
    <xf numFmtId="0" fontId="31" fillId="0" borderId="31" xfId="0" applyFont="1" applyBorder="1" applyAlignment="1">
      <alignment horizontal="center" vertical="center" wrapText="1"/>
    </xf>
    <xf numFmtId="0" fontId="31" fillId="0" borderId="31" xfId="0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vertical="center"/>
    </xf>
    <xf numFmtId="0" fontId="0" fillId="0" borderId="0" xfId="0" applyNumberFormat="1" applyFill="1"/>
    <xf numFmtId="0" fontId="0" fillId="0" borderId="0" xfId="0" applyNumberFormat="1" applyFill="1" applyAlignment="1">
      <alignment horizontal="left"/>
    </xf>
    <xf numFmtId="0" fontId="13" fillId="0" borderId="0" xfId="0" applyFont="1" applyFill="1" applyBorder="1" applyAlignment="1">
      <alignment vertical="center"/>
    </xf>
    <xf numFmtId="0" fontId="5" fillId="0" borderId="2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14" borderId="6" xfId="2" applyFont="1" applyFill="1" applyBorder="1" applyAlignment="1">
      <alignment horizontal="left" vertical="center" wrapText="1"/>
    </xf>
    <xf numFmtId="0" fontId="5" fillId="14" borderId="5" xfId="2" applyFont="1" applyFill="1" applyBorder="1" applyAlignment="1">
      <alignment horizontal="center" vertical="center"/>
    </xf>
    <xf numFmtId="0" fontId="5" fillId="6" borderId="40" xfId="2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0" fillId="26" borderId="0" xfId="0" applyFill="1" applyAlignment="1">
      <alignment horizontal="center" vertical="center"/>
    </xf>
    <xf numFmtId="0" fontId="0" fillId="0" borderId="0" xfId="0" applyNumberFormat="1" applyFill="1" applyAlignment="1">
      <alignment horizontal="center" vertical="center" wrapText="1"/>
    </xf>
    <xf numFmtId="0" fontId="5" fillId="17" borderId="0" xfId="2" applyFont="1" applyFill="1" applyBorder="1" applyAlignment="1">
      <alignment horizontal="center" vertical="center"/>
    </xf>
    <xf numFmtId="0" fontId="5" fillId="17" borderId="6" xfId="2" applyFont="1" applyFill="1" applyBorder="1" applyAlignment="1">
      <alignment horizontal="center" vertical="center"/>
    </xf>
    <xf numFmtId="0" fontId="5" fillId="20" borderId="0" xfId="2" applyFont="1" applyFill="1" applyBorder="1" applyAlignment="1">
      <alignment horizontal="center" vertical="center"/>
    </xf>
    <xf numFmtId="0" fontId="1" fillId="24" borderId="43" xfId="0" applyFont="1" applyFill="1" applyBorder="1" applyAlignment="1" applyProtection="1">
      <alignment horizontal="center" vertical="center"/>
      <protection locked="0"/>
    </xf>
    <xf numFmtId="0" fontId="0" fillId="0" borderId="0" xfId="0" applyNumberFormat="1" applyFill="1" applyAlignment="1">
      <alignment horizontal="left" vertical="center"/>
    </xf>
    <xf numFmtId="0" fontId="0" fillId="0" borderId="0" xfId="0" applyNumberFormat="1" applyFont="1" applyFill="1" applyAlignment="1">
      <alignment horizontal="center"/>
    </xf>
    <xf numFmtId="0" fontId="0" fillId="0" borderId="0" xfId="0" applyNumberFormat="1" applyFont="1" applyFill="1" applyAlignment="1">
      <alignment horizontal="left" vertical="center"/>
    </xf>
    <xf numFmtId="0" fontId="0" fillId="0" borderId="2" xfId="0" applyBorder="1"/>
    <xf numFmtId="0" fontId="5" fillId="20" borderId="4" xfId="2" applyFont="1" applyFill="1" applyBorder="1" applyAlignment="1">
      <alignment horizontal="center" vertical="center"/>
    </xf>
    <xf numFmtId="0" fontId="5" fillId="2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24" borderId="0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25" fillId="0" borderId="0" xfId="0" applyFont="1" applyBorder="1" applyAlignment="1">
      <alignment horizontal="center" vertical="center"/>
    </xf>
    <xf numFmtId="0" fontId="16" fillId="23" borderId="8" xfId="0" applyFont="1" applyFill="1" applyBorder="1" applyAlignment="1">
      <alignment horizontal="center" vertical="center" wrapText="1"/>
    </xf>
    <xf numFmtId="0" fontId="16" fillId="23" borderId="9" xfId="0" applyFont="1" applyFill="1" applyBorder="1" applyAlignment="1">
      <alignment horizontal="center" vertical="center" wrapText="1"/>
    </xf>
    <xf numFmtId="0" fontId="16" fillId="23" borderId="12" xfId="0" applyFont="1" applyFill="1" applyBorder="1" applyAlignment="1">
      <alignment horizontal="center" vertical="center" wrapText="1"/>
    </xf>
    <xf numFmtId="0" fontId="7" fillId="24" borderId="8" xfId="0" applyFont="1" applyFill="1" applyBorder="1" applyAlignment="1">
      <alignment horizontal="center" vertical="center"/>
    </xf>
    <xf numFmtId="0" fontId="7" fillId="24" borderId="12" xfId="0" applyFont="1" applyFill="1" applyBorder="1" applyAlignment="1">
      <alignment horizontal="center" vertical="center"/>
    </xf>
    <xf numFmtId="0" fontId="17" fillId="25" borderId="8" xfId="0" applyFont="1" applyFill="1" applyBorder="1" applyAlignment="1">
      <alignment horizontal="center" vertical="center" wrapText="1"/>
    </xf>
    <xf numFmtId="0" fontId="17" fillId="25" borderId="9" xfId="0" applyFont="1" applyFill="1" applyBorder="1" applyAlignment="1">
      <alignment horizontal="center" vertical="center" wrapText="1"/>
    </xf>
    <xf numFmtId="0" fontId="17" fillId="25" borderId="12" xfId="0" applyFont="1" applyFill="1" applyBorder="1" applyAlignment="1">
      <alignment horizontal="center" vertical="center" wrapText="1"/>
    </xf>
    <xf numFmtId="0" fontId="7" fillId="24" borderId="8" xfId="0" applyFont="1" applyFill="1" applyBorder="1" applyAlignment="1" applyProtection="1">
      <alignment horizontal="center" vertical="center"/>
      <protection locked="0"/>
    </xf>
    <xf numFmtId="0" fontId="7" fillId="24" borderId="9" xfId="0" applyFont="1" applyFill="1" applyBorder="1" applyAlignment="1" applyProtection="1">
      <alignment horizontal="center" vertical="center"/>
      <protection locked="0"/>
    </xf>
    <xf numFmtId="0" fontId="7" fillId="24" borderId="12" xfId="0" applyFont="1" applyFill="1" applyBorder="1" applyAlignment="1" applyProtection="1">
      <alignment horizontal="center" vertical="center"/>
      <protection locked="0"/>
    </xf>
    <xf numFmtId="0" fontId="7" fillId="23" borderId="8" xfId="0" applyFont="1" applyFill="1" applyBorder="1" applyAlignment="1">
      <alignment horizontal="center" vertical="center"/>
    </xf>
    <xf numFmtId="0" fontId="7" fillId="23" borderId="9" xfId="0" applyFont="1" applyFill="1" applyBorder="1" applyAlignment="1">
      <alignment horizontal="center" vertical="center"/>
    </xf>
    <xf numFmtId="0" fontId="7" fillId="23" borderId="12" xfId="0" applyFont="1" applyFill="1" applyBorder="1" applyAlignment="1">
      <alignment horizontal="center" vertical="center"/>
    </xf>
    <xf numFmtId="0" fontId="4" fillId="25" borderId="8" xfId="0" applyFont="1" applyFill="1" applyBorder="1" applyAlignment="1" applyProtection="1">
      <alignment horizontal="center" vertical="center" wrapText="1"/>
      <protection locked="0"/>
    </xf>
    <xf numFmtId="0" fontId="4" fillId="25" borderId="9" xfId="0" applyFont="1" applyFill="1" applyBorder="1" applyAlignment="1" applyProtection="1">
      <alignment horizontal="center" vertical="center" wrapText="1"/>
      <protection locked="0"/>
    </xf>
    <xf numFmtId="0" fontId="4" fillId="25" borderId="12" xfId="0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28" fillId="17" borderId="0" xfId="0" applyFont="1" applyFill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0" fillId="18" borderId="0" xfId="0" applyFont="1" applyFill="1" applyAlignment="1">
      <alignment horizontal="center" vertical="center"/>
    </xf>
    <xf numFmtId="0" fontId="28" fillId="11" borderId="0" xfId="0" applyFont="1" applyFill="1" applyAlignment="1">
      <alignment horizontal="center" vertical="center" wrapText="1"/>
    </xf>
    <xf numFmtId="0" fontId="28" fillId="12" borderId="0" xfId="0" applyFont="1" applyFill="1" applyAlignment="1">
      <alignment horizontal="center" vertical="center" wrapText="1"/>
    </xf>
    <xf numFmtId="0" fontId="14" fillId="13" borderId="0" xfId="0" applyFont="1" applyFill="1" applyAlignment="1">
      <alignment horizontal="center" vertical="center" wrapText="1"/>
    </xf>
    <xf numFmtId="0" fontId="5" fillId="0" borderId="42" xfId="0" applyFont="1" applyFill="1" applyBorder="1" applyAlignment="1">
      <alignment horizontal="center" vertical="center"/>
    </xf>
    <xf numFmtId="0" fontId="5" fillId="0" borderId="32" xfId="0" applyFont="1" applyFill="1" applyBorder="1" applyAlignment="1">
      <alignment horizontal="center" vertical="center"/>
    </xf>
    <xf numFmtId="0" fontId="18" fillId="10" borderId="35" xfId="0" applyFont="1" applyFill="1" applyBorder="1" applyAlignment="1">
      <alignment horizontal="center" vertical="center"/>
    </xf>
    <xf numFmtId="0" fontId="18" fillId="10" borderId="32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19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18" xfId="0" applyNumberFormat="1" applyFont="1" applyBorder="1" applyAlignment="1">
      <alignment horizontal="center" vertical="center"/>
    </xf>
    <xf numFmtId="0" fontId="5" fillId="0" borderId="42" xfId="1" applyFont="1" applyFill="1" applyBorder="1" applyAlignment="1">
      <alignment horizontal="center" vertical="center"/>
    </xf>
    <xf numFmtId="0" fontId="5" fillId="0" borderId="32" xfId="1" applyFont="1" applyFill="1" applyBorder="1" applyAlignment="1">
      <alignment horizontal="center" vertical="center"/>
    </xf>
    <xf numFmtId="0" fontId="4" fillId="0" borderId="42" xfId="1" applyFont="1" applyFill="1" applyBorder="1" applyAlignment="1">
      <alignment horizontal="center" vertical="center"/>
    </xf>
    <xf numFmtId="0" fontId="4" fillId="0" borderId="32" xfId="1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5" fillId="19" borderId="36" xfId="0" applyFont="1" applyFill="1" applyBorder="1" applyAlignment="1">
      <alignment horizontal="center" vertical="center"/>
    </xf>
    <xf numFmtId="0" fontId="5" fillId="19" borderId="37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28" fillId="0" borderId="0" xfId="0" applyFont="1" applyFill="1" applyAlignment="1">
      <alignment horizontal="center" vertical="center" wrapText="1"/>
    </xf>
  </cellXfs>
  <cellStyles count="5">
    <cellStyle name="60% - Énfasis2" xfId="1" builtinId="36"/>
    <cellStyle name="60% - Énfasis4" xfId="2" builtinId="44"/>
    <cellStyle name="60% - Énfasis6" xfId="3" builtinId="52"/>
    <cellStyle name="Normal" xfId="0" builtinId="0"/>
    <cellStyle name="Porcentaje" xfId="4" builtinId="5"/>
  </cellStyles>
  <dxfs count="9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color theme="0"/>
      </font>
      <fill>
        <patternFill>
          <bgColor rgb="FFED7F3B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rgb="FFAF6CF8"/>
        </patternFill>
      </fill>
    </dxf>
    <dxf>
      <font>
        <color theme="0"/>
      </font>
      <fill>
        <patternFill>
          <bgColor rgb="FFE05656"/>
        </patternFill>
      </fill>
    </dxf>
    <dxf>
      <font>
        <color theme="0"/>
      </font>
      <fill>
        <patternFill>
          <bgColor rgb="FF8FA2FF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</dxfs>
  <tableStyles count="0" defaultTableStyle="TableStyleMedium2" defaultPivotStyle="PivotStyleLight16"/>
  <colors>
    <mruColors>
      <color rgb="FFFFB469"/>
      <color rgb="FFFF9D3B"/>
      <color rgb="FFF30B11"/>
      <color rgb="FFDD4B4B"/>
      <color rgb="FFE095F5"/>
      <color rgb="FFFFD1D1"/>
      <color rgb="FFFAB0B0"/>
      <color rgb="FFEF5F5F"/>
      <color rgb="FFAF6CF8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microsoft.com/office/2007/relationships/slicerCache" Target="slicerCaches/slicerCache1.xml"/><Relationship Id="rId7" Type="http://schemas.microsoft.com/office/2007/relationships/slicerCache" Target="slicerCaches/slicerCache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4.xml"/><Relationship Id="rId11" Type="http://schemas.openxmlformats.org/officeDocument/2006/relationships/sheetMetadata" Target="metadata.xml"/><Relationship Id="rId5" Type="http://schemas.microsoft.com/office/2007/relationships/slicerCache" Target="slicerCaches/slicerCache3.xml"/><Relationship Id="rId10" Type="http://schemas.openxmlformats.org/officeDocument/2006/relationships/sharedStrings" Target="sharedStrings.xml"/><Relationship Id="rId4" Type="http://schemas.microsoft.com/office/2007/relationships/slicerCache" Target="slicerCaches/slicerCache2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179252</xdr:colOff>
      <xdr:row>2</xdr:row>
      <xdr:rowOff>58387</xdr:rowOff>
    </xdr:from>
    <xdr:to>
      <xdr:col>31</xdr:col>
      <xdr:colOff>128867</xdr:colOff>
      <xdr:row>26</xdr:row>
      <xdr:rowOff>38887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>
          <a:grpSpLocks noChangeAspect="1"/>
        </xdr:cNvGrpSpPr>
      </xdr:nvGrpSpPr>
      <xdr:grpSpPr>
        <a:xfrm>
          <a:off x="13085627" y="734662"/>
          <a:ext cx="4407315" cy="6105075"/>
          <a:chOff x="12198569" y="893379"/>
          <a:chExt cx="4401630" cy="6081824"/>
        </a:xfrm>
      </xdr:grpSpPr>
      <mc:AlternateContent xmlns:mc="http://schemas.openxmlformats.org/markup-compatibility/2006">
        <mc:Choice xmlns:a14="http://schemas.microsoft.com/office/drawing/2010/main" Requires="a14">
          <xdr:pic>
            <xdr:nvPicPr>
              <xdr:cNvPr id="23" name="Imagen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Control!$A$1:$K$36" spid="_x0000_s3598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12198569" y="893379"/>
                <a:ext cx="4401630" cy="6081824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/>
      </mc:AlternateContent>
      <xdr:sp macro="[0]!MostrarMateriasFaltantesIngeniero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Aspect="1"/>
          </xdr:cNvSpPr>
        </xdr:nvSpPr>
        <xdr:spPr>
          <a:xfrm>
            <a:off x="14546830" y="3110084"/>
            <a:ext cx="899153" cy="356750"/>
          </a:xfrm>
          <a:prstGeom prst="roundRect">
            <a:avLst>
              <a:gd name="adj" fmla="val 18362"/>
            </a:avLst>
          </a:prstGeom>
          <a:solidFill>
            <a:srgbClr val="DD4B4B">
              <a:alpha val="63137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Disponibl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spect="1"/>
          </xdr:cNvSpPr>
        </xdr:nvSpPr>
        <xdr:spPr>
          <a:xfrm>
            <a:off x="12285582" y="5030063"/>
            <a:ext cx="899153" cy="356750"/>
          </a:xfrm>
          <a:prstGeom prst="roundRect">
            <a:avLst>
              <a:gd name="adj" fmla="val 18362"/>
            </a:avLst>
          </a:prstGeom>
          <a:solidFill>
            <a:schemeClr val="accent2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</xdr:grpSp>
    <xdr:clientData/>
  </xdr:twoCellAnchor>
  <xdr:twoCellAnchor editAs="absolute">
    <xdr:from>
      <xdr:col>13</xdr:col>
      <xdr:colOff>199387</xdr:colOff>
      <xdr:row>6</xdr:row>
      <xdr:rowOff>19817</xdr:rowOff>
    </xdr:from>
    <xdr:to>
      <xdr:col>15</xdr:col>
      <xdr:colOff>205208</xdr:colOff>
      <xdr:row>7</xdr:row>
      <xdr:rowOff>181235</xdr:rowOff>
    </xdr:to>
    <xdr:grpSp>
      <xdr:nvGrpSpPr>
        <xdr:cNvPr id="9" name="Grupo 8" descr="LIMPIAR FILTROS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0133962" y="1867667"/>
          <a:ext cx="501121" cy="523368"/>
          <a:chOff x="10443368" y="889729"/>
          <a:chExt cx="516646" cy="516647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LimpiarEstado" textlink="">
        <xdr:nvSpPr>
          <xdr:cNvPr id="7" name="Forma libre: forma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0631685" y="889729"/>
            <a:ext cx="328329" cy="328329"/>
          </a:xfrm>
          <a:custGeom>
            <a:avLst/>
            <a:gdLst>
              <a:gd name="connsiteX0" fmla="*/ 299889 w 328329"/>
              <a:gd name="connsiteY0" fmla="*/ 45854 h 328329"/>
              <a:gd name="connsiteX1" fmla="*/ 282476 w 328329"/>
              <a:gd name="connsiteY1" fmla="*/ 45854 h 328329"/>
              <a:gd name="connsiteX2" fmla="*/ 282476 w 328329"/>
              <a:gd name="connsiteY2" fmla="*/ 28441 h 328329"/>
              <a:gd name="connsiteX3" fmla="*/ 299889 w 328329"/>
              <a:gd name="connsiteY3" fmla="*/ 28441 h 328329"/>
              <a:gd name="connsiteX4" fmla="*/ 299889 w 328329"/>
              <a:gd name="connsiteY4" fmla="*/ 45854 h 328329"/>
              <a:gd name="connsiteX5" fmla="*/ 317302 w 328329"/>
              <a:gd name="connsiteY5" fmla="*/ 11028 h 328329"/>
              <a:gd name="connsiteX6" fmla="*/ 274737 w 328329"/>
              <a:gd name="connsiteY6" fmla="*/ 3934 h 328329"/>
              <a:gd name="connsiteX7" fmla="*/ 240556 w 328329"/>
              <a:gd name="connsiteY7" fmla="*/ 35535 h 328329"/>
              <a:gd name="connsiteX8" fmla="*/ 129629 w 328329"/>
              <a:gd name="connsiteY8" fmla="*/ 176773 h 328329"/>
              <a:gd name="connsiteX9" fmla="*/ 43855 w 328329"/>
              <a:gd name="connsiteY9" fmla="*/ 91644 h 328329"/>
              <a:gd name="connsiteX10" fmla="*/ 25797 w 328329"/>
              <a:gd name="connsiteY10" fmla="*/ 91644 h 328329"/>
              <a:gd name="connsiteX11" fmla="*/ 0 w 328329"/>
              <a:gd name="connsiteY11" fmla="*/ 117440 h 328329"/>
              <a:gd name="connsiteX12" fmla="*/ 210889 w 328329"/>
              <a:gd name="connsiteY12" fmla="*/ 328330 h 328329"/>
              <a:gd name="connsiteX13" fmla="*/ 236686 w 328329"/>
              <a:gd name="connsiteY13" fmla="*/ 302533 h 328329"/>
              <a:gd name="connsiteX14" fmla="*/ 236686 w 328329"/>
              <a:gd name="connsiteY14" fmla="*/ 284475 h 328329"/>
              <a:gd name="connsiteX15" fmla="*/ 151557 w 328329"/>
              <a:gd name="connsiteY15" fmla="*/ 198701 h 328329"/>
              <a:gd name="connsiteX16" fmla="*/ 292795 w 328329"/>
              <a:gd name="connsiteY16" fmla="*/ 87774 h 328329"/>
              <a:gd name="connsiteX17" fmla="*/ 324396 w 328329"/>
              <a:gd name="connsiteY17" fmla="*/ 53593 h 328329"/>
              <a:gd name="connsiteX18" fmla="*/ 317302 w 328329"/>
              <a:gd name="connsiteY18" fmla="*/ 11028 h 32832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328329" h="328329">
                <a:moveTo>
                  <a:pt x="299889" y="45854"/>
                </a:moveTo>
                <a:cubicBezTo>
                  <a:pt x="294729" y="51013"/>
                  <a:pt x="286990" y="51013"/>
                  <a:pt x="282476" y="45854"/>
                </a:cubicBezTo>
                <a:cubicBezTo>
                  <a:pt x="277316" y="40695"/>
                  <a:pt x="277316" y="32956"/>
                  <a:pt x="282476" y="28441"/>
                </a:cubicBezTo>
                <a:cubicBezTo>
                  <a:pt x="287635" y="23927"/>
                  <a:pt x="295374" y="23282"/>
                  <a:pt x="299889" y="28441"/>
                </a:cubicBezTo>
                <a:cubicBezTo>
                  <a:pt x="304403" y="33601"/>
                  <a:pt x="304403" y="41340"/>
                  <a:pt x="299889" y="45854"/>
                </a:cubicBezTo>
                <a:close/>
                <a:moveTo>
                  <a:pt x="317302" y="11028"/>
                </a:moveTo>
                <a:cubicBezTo>
                  <a:pt x="305693" y="-580"/>
                  <a:pt x="288925" y="-3160"/>
                  <a:pt x="274737" y="3934"/>
                </a:cubicBezTo>
                <a:cubicBezTo>
                  <a:pt x="266998" y="7159"/>
                  <a:pt x="240556" y="35535"/>
                  <a:pt x="240556" y="35535"/>
                </a:cubicBezTo>
                <a:cubicBezTo>
                  <a:pt x="201216" y="74876"/>
                  <a:pt x="148977" y="139368"/>
                  <a:pt x="129629" y="176773"/>
                </a:cubicBezTo>
                <a:lnTo>
                  <a:pt x="43855" y="91644"/>
                </a:lnTo>
                <a:cubicBezTo>
                  <a:pt x="38695" y="86484"/>
                  <a:pt x="30956" y="86484"/>
                  <a:pt x="25797" y="91644"/>
                </a:cubicBezTo>
                <a:lnTo>
                  <a:pt x="0" y="117440"/>
                </a:lnTo>
                <a:lnTo>
                  <a:pt x="210889" y="328330"/>
                </a:lnTo>
                <a:lnTo>
                  <a:pt x="236686" y="302533"/>
                </a:lnTo>
                <a:cubicBezTo>
                  <a:pt x="241846" y="297374"/>
                  <a:pt x="241846" y="289635"/>
                  <a:pt x="236686" y="284475"/>
                </a:cubicBezTo>
                <a:lnTo>
                  <a:pt x="151557" y="198701"/>
                </a:lnTo>
                <a:cubicBezTo>
                  <a:pt x="189607" y="178708"/>
                  <a:pt x="253454" y="127114"/>
                  <a:pt x="292795" y="87774"/>
                </a:cubicBezTo>
                <a:cubicBezTo>
                  <a:pt x="292795" y="87774"/>
                  <a:pt x="321171" y="60687"/>
                  <a:pt x="324396" y="53593"/>
                </a:cubicBezTo>
                <a:cubicBezTo>
                  <a:pt x="331490" y="39405"/>
                  <a:pt x="328910" y="22637"/>
                  <a:pt x="317302" y="11028"/>
                </a:cubicBezTo>
                <a:close/>
              </a:path>
            </a:pathLst>
          </a:custGeom>
          <a:solidFill>
            <a:srgbClr val="C00000"/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  <xdr:sp macro="[0]!LimpiarEstado" textlink="">
        <xdr:nvSpPr>
          <xdr:cNvPr id="8" name="Forma libre: forma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0443368" y="1027162"/>
            <a:ext cx="379214" cy="379214"/>
          </a:xfrm>
          <a:custGeom>
            <a:avLst/>
            <a:gdLst>
              <a:gd name="connsiteX0" fmla="*/ 3870 w 379214"/>
              <a:gd name="connsiteY0" fmla="*/ 164455 h 379214"/>
              <a:gd name="connsiteX1" fmla="*/ 3870 w 379214"/>
              <a:gd name="connsiteY1" fmla="*/ 182513 h 379214"/>
              <a:gd name="connsiteX2" fmla="*/ 161875 w 379214"/>
              <a:gd name="connsiteY2" fmla="*/ 340519 h 379214"/>
              <a:gd name="connsiteX3" fmla="*/ 276027 w 379214"/>
              <a:gd name="connsiteY3" fmla="*/ 226368 h 379214"/>
              <a:gd name="connsiteX4" fmla="*/ 285055 w 379214"/>
              <a:gd name="connsiteY4" fmla="*/ 235397 h 379214"/>
              <a:gd name="connsiteX5" fmla="*/ 179288 w 379214"/>
              <a:gd name="connsiteY5" fmla="*/ 357932 h 379214"/>
              <a:gd name="connsiteX6" fmla="*/ 196701 w 379214"/>
              <a:gd name="connsiteY6" fmla="*/ 375345 h 379214"/>
              <a:gd name="connsiteX7" fmla="*/ 214759 w 379214"/>
              <a:gd name="connsiteY7" fmla="*/ 375345 h 379214"/>
              <a:gd name="connsiteX8" fmla="*/ 379214 w 379214"/>
              <a:gd name="connsiteY8" fmla="*/ 210889 h 379214"/>
              <a:gd name="connsiteX9" fmla="*/ 168325 w 379214"/>
              <a:gd name="connsiteY9" fmla="*/ 0 h 379214"/>
              <a:gd name="connsiteX10" fmla="*/ 3870 w 379214"/>
              <a:gd name="connsiteY10" fmla="*/ 164455 h 37921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379214" h="379214">
                <a:moveTo>
                  <a:pt x="3870" y="164455"/>
                </a:moveTo>
                <a:cubicBezTo>
                  <a:pt x="-1290" y="169614"/>
                  <a:pt x="-1290" y="177354"/>
                  <a:pt x="3870" y="182513"/>
                </a:cubicBezTo>
                <a:lnTo>
                  <a:pt x="161875" y="340519"/>
                </a:lnTo>
                <a:lnTo>
                  <a:pt x="276027" y="226368"/>
                </a:lnTo>
                <a:lnTo>
                  <a:pt x="285055" y="235397"/>
                </a:lnTo>
                <a:lnTo>
                  <a:pt x="179288" y="357932"/>
                </a:lnTo>
                <a:lnTo>
                  <a:pt x="196701" y="375345"/>
                </a:lnTo>
                <a:cubicBezTo>
                  <a:pt x="201861" y="380504"/>
                  <a:pt x="209600" y="380504"/>
                  <a:pt x="214759" y="375345"/>
                </a:cubicBezTo>
                <a:lnTo>
                  <a:pt x="379214" y="210889"/>
                </a:lnTo>
                <a:lnTo>
                  <a:pt x="168325" y="0"/>
                </a:lnTo>
                <a:lnTo>
                  <a:pt x="3870" y="164455"/>
                </a:lnTo>
                <a:close/>
              </a:path>
            </a:pathLst>
          </a:custGeom>
          <a:solidFill>
            <a:schemeClr val="accent4">
              <a:lumMod val="40000"/>
              <a:lumOff val="60000"/>
            </a:schemeClr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</xdr:grpSp>
    <xdr:clientData/>
  </xdr:twoCellAnchor>
  <xdr:twoCellAnchor editAs="absolute">
    <xdr:from>
      <xdr:col>4</xdr:col>
      <xdr:colOff>3969064</xdr:colOff>
      <xdr:row>3</xdr:row>
      <xdr:rowOff>18214</xdr:rowOff>
    </xdr:from>
    <xdr:to>
      <xdr:col>5</xdr:col>
      <xdr:colOff>224457</xdr:colOff>
      <xdr:row>6</xdr:row>
      <xdr:rowOff>219330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Cursar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885317"/>
              <a:ext cx="1438422" cy="11864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3969064</xdr:colOff>
      <xdr:row>6</xdr:row>
      <xdr:rowOff>257916</xdr:rowOff>
    </xdr:from>
    <xdr:to>
      <xdr:col>5</xdr:col>
      <xdr:colOff>224457</xdr:colOff>
      <xdr:row>9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Electiva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lec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2110364"/>
              <a:ext cx="1438422" cy="955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619200</xdr:colOff>
      <xdr:row>6</xdr:row>
      <xdr:rowOff>16743</xdr:rowOff>
    </xdr:from>
    <xdr:to>
      <xdr:col>4</xdr:col>
      <xdr:colOff>3851923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Modalidad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al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1869191"/>
              <a:ext cx="3236450" cy="11962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619200</xdr:colOff>
      <xdr:row>3</xdr:row>
      <xdr:rowOff>18214</xdr:rowOff>
    </xdr:from>
    <xdr:to>
      <xdr:col>4</xdr:col>
      <xdr:colOff>3851923</xdr:colOff>
      <xdr:row>5</xdr:row>
      <xdr:rowOff>178714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Estado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885317"/>
              <a:ext cx="3236450" cy="9356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2953</xdr:colOff>
      <xdr:row>3</xdr:row>
      <xdr:rowOff>18214</xdr:rowOff>
    </xdr:from>
    <xdr:to>
      <xdr:col>4</xdr:col>
      <xdr:colOff>503701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NIVEL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I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2" y="885317"/>
              <a:ext cx="1078817" cy="2180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4455687</xdr:colOff>
      <xdr:row>3</xdr:row>
      <xdr:rowOff>2842</xdr:rowOff>
    </xdr:from>
    <xdr:to>
      <xdr:col>4</xdr:col>
      <xdr:colOff>4749850</xdr:colOff>
      <xdr:row>3</xdr:row>
      <xdr:rowOff>293339</xdr:rowOff>
    </xdr:to>
    <xdr:pic macro="[0]!MostrarMateriasDisponibles">
      <xdr:nvPicPr>
        <xdr:cNvPr id="14" name="Gráfico 13" descr="Ojo con relleno sólid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236194" y="869945"/>
          <a:ext cx="294163" cy="2904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</xdr:row>
          <xdr:rowOff>180975</xdr:rowOff>
        </xdr:from>
        <xdr:to>
          <xdr:col>12</xdr:col>
          <xdr:colOff>142875</xdr:colOff>
          <xdr:row>4</xdr:row>
          <xdr:rowOff>0</xdr:rowOff>
        </xdr:to>
        <xdr:sp macro="" textlink="">
          <xdr:nvSpPr>
            <xdr:cNvPr id="1876" name="TextBox1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0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142875</xdr:colOff>
          <xdr:row>2</xdr:row>
          <xdr:rowOff>180975</xdr:rowOff>
        </xdr:from>
        <xdr:to>
          <xdr:col>12</xdr:col>
          <xdr:colOff>276225</xdr:colOff>
          <xdr:row>4</xdr:row>
          <xdr:rowOff>0</xdr:rowOff>
        </xdr:to>
        <xdr:sp macro="" textlink="">
          <xdr:nvSpPr>
            <xdr:cNvPr id="1731" name="ComboBox1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4238625</xdr:colOff>
          <xdr:row>10</xdr:row>
          <xdr:rowOff>66675</xdr:rowOff>
        </xdr:from>
        <xdr:to>
          <xdr:col>4</xdr:col>
          <xdr:colOff>4524375</xdr:colOff>
          <xdr:row>10</xdr:row>
          <xdr:rowOff>352425</xdr:rowOff>
        </xdr:to>
        <xdr:sp macro="" textlink="">
          <xdr:nvSpPr>
            <xdr:cNvPr id="3269" name="CommandButton1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0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dalidad" xr10:uid="{3D0E8E42-B1B3-437D-8783-B046B50CEBFA}" sourceName="Modalidad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ursar" xr10:uid="{E6069128-784B-4B09-857C-613278A673F8}" sourceName="Cursar">
  <extLst>
    <x:ext xmlns:x15="http://schemas.microsoft.com/office/spreadsheetml/2010/11/main" uri="{2F2917AC-EB37-4324-AD4E-5DD8C200BD13}">
      <x15:tableSlicerCache tableId="1" column="17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lectiva" xr10:uid="{5237DF4E-465B-4BCF-80EC-6051F3F807D9}" sourceName="Electiva">
  <extLst>
    <x:ext xmlns:x15="http://schemas.microsoft.com/office/spreadsheetml/2010/11/main" uri="{2F2917AC-EB37-4324-AD4E-5DD8C200BD13}">
      <x15:tableSlicerCache tableId="1" column="18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F03FB86B-3F40-4B53-A462-CE7541016A1A}" sourceName="Estado">
  <extLst>
    <x:ext xmlns:x15="http://schemas.microsoft.com/office/spreadsheetml/2010/11/main" uri="{2F2917AC-EB37-4324-AD4E-5DD8C200BD13}">
      <x15:tableSlicerCache tableId="1" column="10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IVEL" xr10:uid="{1FF9495C-EC02-4E56-B713-7CC1A6A5EB40}" sourceName="Nivel">
  <extLst>
    <x:ext xmlns:x15="http://schemas.microsoft.com/office/spreadsheetml/2010/11/main" uri="{2F2917AC-EB37-4324-AD4E-5DD8C200BD13}">
      <x15:tableSlicerCache tableId="1" column="2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alidad" xr10:uid="{024B880A-2AB3-4DA4-9A45-5FA92E705829}" cache="SegmentaciónDeDatos_Modalidad" caption="Modalidad" columnCount="3" lockedPosition="1" rowHeight="241300"/>
  <slicer name="Cursar" xr10:uid="{FB8F431E-67FF-4D86-9BE2-731CBE97FCB3}" cache="SegmentaciónDeDatos_Cursar" caption="Cursar" lockedPosition="1" rowHeight="241300"/>
  <slicer name="Electiva" xr10:uid="{A4C92E71-5D15-494F-A3A6-FA35FBFAD814}" cache="SegmentaciónDeDatos_Electiva" caption="Electiva" lockedPosition="1" rowHeight="241300"/>
  <slicer name="Estado" xr10:uid="{F0BE9754-62F0-486F-87D3-DE1372F2520F}" cache="SegmentaciónDeDatos_Estado" caption="Estado" columnCount="2" lockedPosition="1" rowHeight="241300"/>
  <slicer name="NIVEL" xr10:uid="{10E7EDA2-132F-4F7B-B18E-6C01274FEDDD}" cache="SegmentaciónDeDatos_NIVEL" caption="Nivel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DE02F8-A7E4-4E62-A88C-FB36C786FBA6}" name="Tabla1" displayName="Tabla1" ref="B11:AB59" totalsRowShown="0" headerRowDxfId="85" dataDxfId="83" headerRowBorderDxfId="84" tableBorderDxfId="82">
  <autoFilter ref="B11:AB59" xr:uid="{79DE02F8-A7E4-4E62-A88C-FB36C786FBA6}"/>
  <sortState xmlns:xlrd2="http://schemas.microsoft.com/office/spreadsheetml/2017/richdata2" ref="B12:AB59">
    <sortCondition ref="AB12:AB59"/>
  </sortState>
  <tableColumns count="27">
    <tableColumn id="1" xr3:uid="{A24D5FA6-E447-4A60-BA76-E48B47DF6268}" name="Numero" dataDxfId="81"/>
    <tableColumn id="5" xr3:uid="{41D6DF65-D806-4685-B39B-97EEEBC6388E}" name="Codigo" dataDxfId="80"/>
    <tableColumn id="22" xr3:uid="{3E504640-98A8-4713-94D4-B026959A359F}" name="Nivel" dataDxfId="79"/>
    <tableColumn id="2" xr3:uid="{F93819E9-0871-4C42-AF48-CDBD4E884339}" name="Materia" dataDxfId="78"/>
    <tableColumn id="6" xr3:uid="{772036BF-1C2E-4AD0-985E-565A762A39C4}" name="Icono" dataDxfId="77">
      <calculatedColumnFormula>_xlfn.XLOOKUP(Tabla1[[#This Row],[Estado]],Control!$C$32:$C$34,Control!$B$32:$B$34,"")</calculatedColumnFormula>
    </tableColumn>
    <tableColumn id="10" xr3:uid="{474D2529-3166-45BF-8B3E-D040442EFC54}" name="Estado" dataDxfId="76"/>
    <tableColumn id="4" xr3:uid="{9F7C669A-5795-4BB7-8E16-3107D2BFF0BE}" name="Nota" dataDxfId="75"/>
    <tableColumn id="3" xr3:uid="{3702BBEF-C11E-4D4E-BC12-4BD2121D3EC8}" name="Modalidad" dataDxfId="74"/>
    <tableColumn id="17" xr3:uid="{22536584-898D-4A19-8480-D3342C257AFD}" name="Cursar" dataDxfId="73">
      <calculatedColumnFormula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calculatedColumnFormula>
    </tableColumn>
    <tableColumn id="18" xr3:uid="{4B13752F-4D7C-4A1D-B36C-54BA596A3010}" name="Electiva" dataDxfId="72"/>
    <tableColumn id="21" xr3:uid="{D641437E-3737-44F7-9A53-4CE116B1C4C8}" name="Carga Horaria" dataDxfId="71"/>
    <tableColumn id="7" xr3:uid="{6D429D2C-2291-4FEF-948F-E02261FBF835}" name="Puntos" dataDxfId="70"/>
    <tableColumn id="8" xr3:uid="{94D1AD21-C77F-4D00-91E2-B914785E3402}" name="R1" dataDxfId="69" dataCellStyle="60% - Énfasis4">
      <calculatedColumnFormula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calculatedColumnFormula>
    </tableColumn>
    <tableColumn id="9" xr3:uid="{CCD0B686-36DF-4737-800C-BE33AC02FBF8}" name="R2" dataDxfId="68" dataCellStyle="60% - Énfasis4">
      <calculatedColumnFormula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calculatedColumnFormula>
    </tableColumn>
    <tableColumn id="11" xr3:uid="{964C3D77-5C6F-4B6E-8C6D-8AD200894530}" name="R3" dataDxfId="67" dataCellStyle="60% - Énfasis4">
      <calculatedColumnFormula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calculatedColumnFormula>
    </tableColumn>
    <tableColumn id="24" xr3:uid="{88B427B0-DCBC-43B5-9EE0-F5E759AB4367}" name="R4" dataDxfId="66" dataCellStyle="60% - Énfasis4">
      <calculatedColumnFormula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calculatedColumnFormula>
    </tableColumn>
    <tableColumn id="12" xr3:uid="{15F19C93-1E23-4EC9-8F6A-BCF6F03A24EB}" name="R5" dataDxfId="65" dataCellStyle="60% - Énfasis4">
      <calculatedColumnFormula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calculatedColumnFormula>
    </tableColumn>
    <tableColumn id="13" xr3:uid="{43717CD1-6668-4EF7-8BF8-6C1843CB6E18}" name="A1" dataDxfId="64" dataCellStyle="60% - Énfasis4">
      <calculatedColumnFormula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calculatedColumnFormula>
    </tableColumn>
    <tableColumn id="14" xr3:uid="{DDEEC8DE-4464-4365-AF98-2EBA23CB0A64}" name="A2" dataDxfId="63" dataCellStyle="60% - Énfasis4">
      <calculatedColumnFormula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calculatedColumnFormula>
    </tableColumn>
    <tableColumn id="26" xr3:uid="{7E34A825-EA74-4DB7-AA92-B6F65DA02E0A}" name="A3" dataDxfId="62" dataCellStyle="60% - Énfasis4">
      <calculatedColumnFormula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calculatedColumnFormula>
    </tableColumn>
    <tableColumn id="25" xr3:uid="{941262C1-F6B1-4DBB-B4A8-1DEB48EF62E0}" name="A4" dataDxfId="61" dataCellStyle="60% - Énfasis4">
      <calculatedColumnFormula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calculatedColumnFormula>
    </tableColumn>
    <tableColumn id="15" xr3:uid="{0AA50233-9BFE-41CB-937A-9DA4946D1B7B}" name="A5" dataDxfId="60" dataCellStyle="60% - Énfasis4">
      <calculatedColumnFormula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calculatedColumnFormula>
    </tableColumn>
    <tableColumn id="27" xr3:uid="{4B22E14E-E346-4AF3-817C-C04F62C5B7A8}" name="A6" dataDxfId="59" dataCellStyle="60% - Énfasis4">
      <calculatedColumnFormula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calculatedColumnFormula>
    </tableColumn>
    <tableColumn id="16" xr3:uid="{1494389C-7B43-4ABE-AB29-970D62EEE7E7}" name="A7" dataDxfId="58" dataCellStyle="60% - Énfasis4">
      <calculatedColumnFormula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calculatedColumnFormula>
    </tableColumn>
    <tableColumn id="19" xr3:uid="{BAD87C3B-EAD5-499D-A8F5-51BE0B89B7BC}" name="HALLAR" dataDxfId="57" dataCellStyle="60% - Énfasis4">
      <calculatedColumnFormula>ISNUMBER(SEARCH($H$4,Tabla1[[#This Row],[Materia]],1))</calculatedColumnFormula>
    </tableColumn>
    <tableColumn id="20" xr3:uid="{BE35400B-14F7-472D-AD27-BDFC43C0D8E5}" name="FILTRAR" dataDxfId="56" dataCellStyle="60% - Énfasis4">
      <calculatedColumnFormula>IFERROR(IF(
    (COUNTIF(Tabla1[[#This Row],[R1]:[A7]], _xlfn.XLOOKUP($H$4,Tabla1[Materia],Tabla1[Numero],""))) &gt; 0,
    TRUE,
    FALSE
),FALSE)</calculatedColumnFormula>
    </tableColumn>
    <tableColumn id="23" xr3:uid="{3B88E2D4-65F2-41F5-8161-896AECC66145}" name="ORDEN" dataDxfId="55">
      <calculatedColumnFormula>ROW()-ROW(Tabla1[[#Headers],[ORDEN]])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A2A550-1C17-438E-B7AC-1C04EE1EC366}" name="Tabla2" displayName="Tabla2" ref="C41:C48" totalsRowShown="0" dataDxfId="54">
  <autoFilter ref="C41:C48" xr:uid="{CBA2A550-1C17-438E-B7AC-1C04EE1EC366}"/>
  <tableColumns count="1">
    <tableColumn id="1" xr3:uid="{292F7581-8B8A-42E5-9D14-32453948C535}" name="Modalidades" dataDxfId="53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41DBCD-7301-4FD0-8C4F-886A6F287120}" name="Tabla3" displayName="Tabla3" ref="P2:P4" totalsRowShown="0">
  <autoFilter ref="P2:P4" xr:uid="{6D41DBCD-7301-4FD0-8C4F-886A6F287120}"/>
  <tableColumns count="1">
    <tableColumn id="1" xr3:uid="{F13107FB-AE8A-442C-91E2-33B2B08C4D10}" name="Tipo" dataDxfId="52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B6D7178-77C8-4DA5-B6DE-B06FAD275BEA}" name="Tabla6" displayName="Tabla6" ref="E41:E46" totalsRowShown="0" headerRowDxfId="51" dataDxfId="50">
  <autoFilter ref="E41:E46" xr:uid="{AB6D7178-77C8-4DA5-B6DE-B06FAD275BEA}"/>
  <tableColumns count="1">
    <tableColumn id="1" xr3:uid="{9DB72B6D-3F22-444F-B143-8516B642D8BA}" name="Nivel" dataDxfId="49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A6BD66-6D35-4631-BCD0-86FF5A39F5A6}" name="Tabla4" displayName="Tabla4" ref="G41:G43" totalsRowShown="0" headerRowDxfId="48" dataDxfId="47">
  <autoFilter ref="G41:G43" xr:uid="{2EA6BD66-6D35-4631-BCD0-86FF5A39F5A6}"/>
  <tableColumns count="1">
    <tableColumn id="1" xr3:uid="{7C9497DB-1FDE-4105-98A6-3191782FF11A}" name="Año de Ingreso" dataDxfId="46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ABA9D5-C5AE-41C6-A2A8-AE20FFDFED15}" name="tblCorrelativasAntes2023" displayName="tblCorrelativasAntes2023" ref="M52:Y71" totalsRowShown="0" headerRowDxfId="45" dataDxfId="44">
  <autoFilter ref="M52:Y71" xr:uid="{6BABA9D5-C5AE-41C6-A2A8-AE20FFDFED15}"/>
  <sortState xmlns:xlrd2="http://schemas.microsoft.com/office/spreadsheetml/2017/richdata2" ref="M53:X61">
    <sortCondition ref="M52:M61"/>
  </sortState>
  <tableColumns count="13">
    <tableColumn id="1" xr3:uid="{00BF462B-29DC-4F0F-AD75-42A7085C8D39}" name="Codigo" dataDxfId="43"/>
    <tableColumn id="2" xr3:uid="{EB98CCD7-978D-4FAC-B396-C3980B1B323A}" name="R1" dataDxfId="42"/>
    <tableColumn id="3" xr3:uid="{D3D02AA4-49CE-4B9B-9193-01046C0C2C2B}" name="R2" dataDxfId="41"/>
    <tableColumn id="4" xr3:uid="{8E99CDB2-2208-49A5-B50E-D1E76EC96092}" name="R3" dataDxfId="40"/>
    <tableColumn id="5" xr3:uid="{4B18780F-C7BB-4228-852E-6207F3E4B004}" name="R4" dataDxfId="39"/>
    <tableColumn id="6" xr3:uid="{7C8D4E0E-D695-4A72-A2EF-2E757958F421}" name="R5" dataDxfId="38"/>
    <tableColumn id="7" xr3:uid="{0C0D715A-2019-4F34-B1B5-E8D92A6FD8E2}" name="A1" dataDxfId="37"/>
    <tableColumn id="8" xr3:uid="{E44A78C6-A9CC-49AC-859A-DC8A53347E7D}" name="A2" dataDxfId="36"/>
    <tableColumn id="9" xr3:uid="{D09794ED-28A8-4269-94EB-9AFE8E51B3CE}" name="A3" dataDxfId="35"/>
    <tableColumn id="10" xr3:uid="{31C2DB0E-2085-4E85-8F45-3C0EAD5B605A}" name="A4" dataDxfId="34"/>
    <tableColumn id="11" xr3:uid="{0EB5F503-DB66-418C-BDCA-637AB49A05B1}" name="A5" dataDxfId="33"/>
    <tableColumn id="12" xr3:uid="{859F2ECA-72AA-4A02-AB93-4D36C01D76CF}" name="A6" dataDxfId="32"/>
    <tableColumn id="13" xr3:uid="{16BCD361-9EA3-4C6F-AA71-D78F0365B502}" name="A7" dataDxfId="31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56D2EE-1D4E-45AA-866D-BD3E74377AC6}" name="tblCorrelativasDesde2023" displayName="tblCorrelativasDesde2023" ref="AA52:AM71" totalsRowShown="0" headerRowDxfId="30" dataDxfId="29">
  <autoFilter ref="AA52:AM71" xr:uid="{4C56D2EE-1D4E-45AA-866D-BD3E74377AC6}"/>
  <sortState xmlns:xlrd2="http://schemas.microsoft.com/office/spreadsheetml/2017/richdata2" ref="AA53:AL61">
    <sortCondition ref="AA52:AA61"/>
  </sortState>
  <tableColumns count="13">
    <tableColumn id="1" xr3:uid="{649422C5-B7DF-4E6B-88D5-1B5151D106A1}" name="Codigo" dataDxfId="28"/>
    <tableColumn id="2" xr3:uid="{B0669C20-77C3-4271-BB64-BA5AD70F5EA4}" name="R1" dataDxfId="27"/>
    <tableColumn id="3" xr3:uid="{6F6F9001-54E0-4298-BBE8-40AAB0B6B5E2}" name="R2" dataDxfId="26"/>
    <tableColumn id="4" xr3:uid="{BAD2B660-ACF8-4AB4-AB57-28E9332E6D61}" name="R3" dataDxfId="25"/>
    <tableColumn id="5" xr3:uid="{D90491D1-A8FF-40CC-853D-B4E88B808B65}" name="R4" dataDxfId="24"/>
    <tableColumn id="6" xr3:uid="{53A4E746-E6B7-47A5-BE78-24132436BFB6}" name="R5" dataDxfId="23"/>
    <tableColumn id="7" xr3:uid="{2BE25757-308C-4CA1-9642-CEAAF6E3AC7C}" name="A1" dataDxfId="22"/>
    <tableColumn id="8" xr3:uid="{7FCA6414-D3D1-439F-9E91-71295C0B1BB0}" name="A2" dataDxfId="21"/>
    <tableColumn id="9" xr3:uid="{F413DB55-65DB-43DD-909F-284729B0D8ED}" name="A3" dataDxfId="20"/>
    <tableColumn id="10" xr3:uid="{E04230CD-6F51-4443-AC8E-C7400AF4CD6A}" name="A4" dataDxfId="19"/>
    <tableColumn id="11" xr3:uid="{D1E44710-B614-40C2-8B13-9FD693948A01}" name="A5" dataDxfId="18"/>
    <tableColumn id="12" xr3:uid="{9FEE1BF5-A7ED-404D-AB2C-8FE39BC1E165}" name="A6" dataDxfId="17"/>
    <tableColumn id="13" xr3:uid="{5CC9BDA5-39CF-42A1-8846-90F7950A672B}" name="A7" dataDxfId="16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DA878B-8FB3-461B-AC35-2511A2B3ECF5}" name="tblCorrelativasGenerales" displayName="tblCorrelativasGenerales" ref="M75:Y104" totalsRowShown="0" headerRowDxfId="15" dataDxfId="13" headerRowBorderDxfId="14">
  <autoFilter ref="M75:Y104" xr:uid="{6DDA878B-8FB3-461B-AC35-2511A2B3ECF5}"/>
  <tableColumns count="13">
    <tableColumn id="1" xr3:uid="{E87F0A87-4CCB-48F3-9805-37B0E4F0ED13}" name="Codigo" dataDxfId="12"/>
    <tableColumn id="2" xr3:uid="{F951F42E-B6C6-451B-AA18-2EA4CF47D104}" name="R1" dataDxfId="11"/>
    <tableColumn id="3" xr3:uid="{2B2B3E23-6706-4E44-8879-1CDAECB8B925}" name="R2" dataDxfId="10"/>
    <tableColumn id="4" xr3:uid="{D70289A5-845C-4C0B-AF0C-99A642E31E90}" name="R3" dataDxfId="9"/>
    <tableColumn id="5" xr3:uid="{83E2A021-2B00-4B0B-854E-1274AF7467D1}" name="R4" dataDxfId="8"/>
    <tableColumn id="6" xr3:uid="{853CAB49-3AFA-485D-928D-16D1DA623475}" name="R5" dataDxfId="7"/>
    <tableColumn id="7" xr3:uid="{E6023B34-E7DD-4350-9CA8-5154C6039DBD}" name="A1" dataDxfId="6"/>
    <tableColumn id="8" xr3:uid="{E373BB62-16EF-44BB-B704-95E87D402E25}" name="A2" dataDxfId="5"/>
    <tableColumn id="9" xr3:uid="{B5F769DF-DE27-4977-BF43-3C40CF2D8B5F}" name="A3" dataDxfId="4"/>
    <tableColumn id="10" xr3:uid="{A1BC6C50-C20A-4FDB-AAEA-0D0E059F6431}" name="A4" dataDxfId="3"/>
    <tableColumn id="11" xr3:uid="{010CBCF1-C687-441E-A6B4-7BE13928CDB0}" name="A5" dataDxfId="2"/>
    <tableColumn id="12" xr3:uid="{16A0B0C5-F02D-436C-A698-82FD4282E448}" name="A6" dataDxfId="1"/>
    <tableColumn id="13" xr3:uid="{4DAF81CF-3552-4D2A-B5EB-BE4B13435D5A}" name="A7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0" row="8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1F254E6-3972-4122-89A1-5BA3C70BEE2B}">
  <we:reference id="wa200005271" version="2.5.5.0" store="es-E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DBA5C01-E18A-4AC4-814D-7B7FF903D555}">
  <we:reference id="wa104381701" version="1.0.0.4" store="en-US" storeType="OMEX"/>
  <we:alternateReferences>
    <we:reference id="wa104381701" version="1.0.0.4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microsoft.com/office/2007/relationships/slicer" Target="../slicers/slicer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R107"/>
  <sheetViews>
    <sheetView showGridLines="0" showRowColHeaders="0" tabSelected="1" zoomScaleNormal="100" workbookViewId="0">
      <selection activeCell="V7" sqref="V7"/>
    </sheetView>
  </sheetViews>
  <sheetFormatPr baseColWidth="10" defaultColWidth="0" defaultRowHeight="15" zeroHeight="1" x14ac:dyDescent="0.25"/>
  <cols>
    <col min="1" max="1" width="3" customWidth="1"/>
    <col min="2" max="2" width="8.7109375" customWidth="1"/>
    <col min="3" max="3" width="7.85546875" hidden="1" customWidth="1"/>
    <col min="4" max="4" width="5.28515625" hidden="1" customWidth="1"/>
    <col min="5" max="5" width="77.7109375" customWidth="1"/>
    <col min="6" max="6" width="4.85546875" customWidth="1"/>
    <col min="7" max="7" width="12.28515625" customWidth="1"/>
    <col min="8" max="8" width="6.85546875" customWidth="1"/>
    <col min="9" max="9" width="11.28515625" customWidth="1"/>
    <col min="10" max="10" width="7.140625" customWidth="1"/>
    <col min="11" max="11" width="8.28515625" hidden="1" customWidth="1"/>
    <col min="12" max="12" width="9" customWidth="1"/>
    <col min="13" max="13" width="8.140625" customWidth="1"/>
    <col min="14" max="25" width="3.7109375" customWidth="1"/>
    <col min="26" max="26" width="13.140625" hidden="1" customWidth="1"/>
    <col min="27" max="27" width="13.28515625" hidden="1" customWidth="1"/>
    <col min="28" max="28" width="9.7109375" hidden="1" customWidth="1"/>
    <col min="29" max="29" width="4.140625" customWidth="1"/>
    <col min="30" max="30" width="15.5703125" customWidth="1"/>
    <col min="31" max="31" width="47.140625" customWidth="1"/>
    <col min="32" max="32" width="4.85546875" customWidth="1"/>
    <col min="33" max="33" width="8" hidden="1"/>
    <col min="34" max="34" width="16.7109375" hidden="1"/>
    <col min="35" max="35" width="3.28515625" hidden="1"/>
    <col min="36" max="37" width="12" hidden="1"/>
    <col min="38" max="59" width="9.140625" hidden="1"/>
    <col min="60" max="60" width="30.28515625" hidden="1"/>
    <col min="61" max="61" width="29.7109375" hidden="1"/>
    <col min="62" max="62" width="28.85546875" hidden="1"/>
    <col min="63" max="63" width="19.42578125" hidden="1"/>
    <col min="64" max="64" width="13.28515625" hidden="1"/>
    <col min="65" max="65" width="16.28515625" hidden="1"/>
    <col min="66" max="66" width="15.42578125" hidden="1"/>
    <col min="67" max="67" width="18.5703125" hidden="1"/>
    <col min="68" max="68" width="25" hidden="1"/>
    <col min="69" max="69" width="19" hidden="1"/>
    <col min="70" max="70" width="14.28515625" hidden="1"/>
    <col min="71" max="16384" width="11.42578125" hidden="1"/>
  </cols>
  <sheetData>
    <row r="1" spans="1:66" x14ac:dyDescent="0.25">
      <c r="J1" s="19"/>
      <c r="K1" s="19"/>
      <c r="L1" s="19"/>
    </row>
    <row r="2" spans="1:66" ht="38.25" customHeight="1" x14ac:dyDescent="0.25">
      <c r="B2" s="246" t="s">
        <v>122</v>
      </c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AB2" s="107"/>
      <c r="AD2" s="141" t="s">
        <v>34</v>
      </c>
      <c r="AE2" s="140" t="s">
        <v>53</v>
      </c>
      <c r="AF2" s="219"/>
      <c r="AG2" s="219"/>
      <c r="AH2" s="219"/>
    </row>
    <row r="3" spans="1:66" ht="15" customHeight="1" thickBot="1" x14ac:dyDescent="0.3">
      <c r="A3" s="21"/>
      <c r="B3" s="51"/>
      <c r="C3" s="51"/>
      <c r="D3" s="51"/>
      <c r="E3" s="51"/>
      <c r="F3" s="51"/>
      <c r="G3" s="51"/>
      <c r="H3" s="51"/>
      <c r="I3" s="51"/>
      <c r="J3" s="44"/>
      <c r="T3" s="22"/>
      <c r="U3" s="19"/>
      <c r="V3" s="19"/>
      <c r="AB3" s="48"/>
      <c r="AC3" s="48"/>
      <c r="AD3" s="49"/>
      <c r="AE3" s="49"/>
      <c r="AF3" s="49"/>
      <c r="AG3" s="49"/>
      <c r="AH3" s="49"/>
      <c r="AI3" s="49"/>
    </row>
    <row r="4" spans="1:66" ht="31.5" customHeight="1" thickBot="1" x14ac:dyDescent="0.3">
      <c r="A4" s="17"/>
      <c r="B4" s="44"/>
      <c r="C4" s="44"/>
      <c r="D4" s="44"/>
      <c r="E4" s="44"/>
      <c r="F4" s="44"/>
      <c r="G4" s="57" t="s">
        <v>1</v>
      </c>
      <c r="H4" s="241"/>
      <c r="I4" s="241"/>
      <c r="J4" s="241"/>
      <c r="K4" s="242"/>
      <c r="L4" s="241"/>
      <c r="M4" s="114"/>
      <c r="N4" s="247" t="s">
        <v>80</v>
      </c>
      <c r="O4" s="248"/>
      <c r="P4" s="249"/>
      <c r="Q4" s="261" t="s">
        <v>82</v>
      </c>
      <c r="R4" s="262"/>
      <c r="S4" s="263"/>
      <c r="T4" s="19"/>
      <c r="U4" s="19"/>
      <c r="V4" s="19"/>
      <c r="AF4" s="49"/>
      <c r="AG4" s="49"/>
      <c r="AH4" s="49"/>
      <c r="AI4" s="49"/>
    </row>
    <row r="5" spans="1:66" s="84" customFormat="1" ht="29.25" customHeight="1" thickBot="1" x14ac:dyDescent="0.3">
      <c r="A5" s="83"/>
      <c r="B5" s="44"/>
      <c r="C5" s="44"/>
      <c r="D5" s="44"/>
      <c r="E5" s="44"/>
      <c r="F5" s="44"/>
      <c r="G5" s="56" t="s">
        <v>76</v>
      </c>
      <c r="H5" s="234" t="s">
        <v>58</v>
      </c>
      <c r="N5" s="44"/>
      <c r="O5" s="44"/>
      <c r="P5" s="44"/>
      <c r="Q5" s="44"/>
      <c r="R5" s="50"/>
      <c r="S5" s="44"/>
      <c r="T5" s="85"/>
      <c r="U5" s="85"/>
      <c r="V5" s="85"/>
      <c r="AF5" s="89"/>
    </row>
    <row r="6" spans="1:66" s="84" customFormat="1" ht="16.5" customHeight="1" thickBot="1" x14ac:dyDescent="0.3">
      <c r="A6" s="83"/>
      <c r="B6" s="44"/>
      <c r="C6" s="44"/>
      <c r="D6" s="44"/>
      <c r="E6" s="44"/>
      <c r="F6" s="44"/>
      <c r="G6" s="44"/>
      <c r="N6" s="44"/>
      <c r="O6" s="44"/>
      <c r="P6" s="44"/>
      <c r="Q6" s="44"/>
      <c r="R6" s="44"/>
      <c r="S6" s="44"/>
      <c r="T6" s="85"/>
      <c r="U6" s="85"/>
      <c r="V6" s="85"/>
    </row>
    <row r="7" spans="1:66" s="84" customFormat="1" ht="28.5" customHeight="1" thickBot="1" x14ac:dyDescent="0.3">
      <c r="A7" s="83"/>
      <c r="C7" s="44"/>
      <c r="D7" s="44"/>
      <c r="E7" s="44"/>
      <c r="F7" s="44"/>
      <c r="G7" s="258" t="s">
        <v>56</v>
      </c>
      <c r="H7" s="259"/>
      <c r="I7" s="259"/>
      <c r="J7" s="259"/>
      <c r="K7" s="259"/>
      <c r="L7" s="260"/>
      <c r="N7" s="54"/>
      <c r="O7" s="44"/>
      <c r="P7" s="44"/>
      <c r="Q7" s="44"/>
      <c r="R7" s="44"/>
      <c r="S7" s="44"/>
      <c r="T7" s="85"/>
      <c r="U7" s="85"/>
      <c r="V7" s="85"/>
      <c r="AF7" s="89"/>
    </row>
    <row r="8" spans="1:66" s="84" customFormat="1" ht="33" customHeight="1" thickBot="1" x14ac:dyDescent="0.3">
      <c r="A8" s="83"/>
      <c r="B8" s="44"/>
      <c r="C8" s="44"/>
      <c r="D8" s="44"/>
      <c r="E8" s="44"/>
      <c r="F8" s="44"/>
      <c r="G8" s="55" t="s">
        <v>77</v>
      </c>
      <c r="H8" s="252" t="s">
        <v>78</v>
      </c>
      <c r="I8" s="254"/>
      <c r="J8" s="252" t="s">
        <v>79</v>
      </c>
      <c r="K8" s="253"/>
      <c r="L8" s="254"/>
      <c r="N8" s="44"/>
      <c r="O8" s="44"/>
      <c r="P8" s="44"/>
      <c r="Q8" s="44"/>
      <c r="R8" s="44"/>
      <c r="S8" s="44"/>
      <c r="T8" s="85"/>
      <c r="U8" s="85"/>
      <c r="V8" s="85"/>
      <c r="BH8" s="90"/>
      <c r="BI8" s="90"/>
      <c r="BJ8" s="90"/>
      <c r="BK8" s="90"/>
      <c r="BL8" s="90"/>
      <c r="BM8" s="90"/>
    </row>
    <row r="9" spans="1:66" ht="21" customHeight="1" thickBot="1" x14ac:dyDescent="0.3">
      <c r="A9" s="17"/>
      <c r="B9" s="19"/>
      <c r="E9" s="19"/>
      <c r="G9" s="53">
        <f xml:space="preserve"> SUMIFS(Tabla1[Carga Horaria], Tabla1[Estado], "&lt;&gt;Aprobado", Tabla1[Estado], "&lt;&gt;Regular", Tabla1[Electiva], "NO")</f>
        <v>147</v>
      </c>
      <c r="H9" s="250" t="str">
        <f>IF(
   SUMIFS(Tabla1[Carga Horaria], Tabla1[Estado], "&lt;&gt;Aprobado", Tabla1[Estado], "&lt;&gt;Regular", Tabla1[Materia], "&lt;&gt;E35", Tabla1[Materia], "&lt;&gt;E57", Tabla1[Electiva], "NO") &lt;= 30,
   "SI", "NO")</f>
        <v>NO</v>
      </c>
      <c r="I9" s="251"/>
      <c r="J9" s="255" t="s">
        <v>58</v>
      </c>
      <c r="K9" s="256"/>
      <c r="L9" s="257"/>
      <c r="N9" s="264" t="s">
        <v>5</v>
      </c>
      <c r="O9" s="265"/>
      <c r="P9" s="265"/>
      <c r="Q9" s="265"/>
      <c r="R9" s="265"/>
      <c r="S9" s="265"/>
      <c r="T9" s="265"/>
      <c r="U9" s="265"/>
      <c r="V9" s="265"/>
      <c r="W9" s="265"/>
      <c r="X9" s="265"/>
      <c r="Y9" s="266"/>
      <c r="BH9" s="15"/>
      <c r="BI9" s="15"/>
      <c r="BJ9" s="15"/>
      <c r="BK9" s="15"/>
      <c r="BL9" s="15"/>
      <c r="BM9" s="15"/>
    </row>
    <row r="10" spans="1:66" ht="17.25" customHeight="1" thickBot="1" x14ac:dyDescent="0.3">
      <c r="A10" s="17"/>
      <c r="B10" s="19"/>
      <c r="C10" s="19"/>
      <c r="D10" s="19"/>
      <c r="E10" s="19"/>
      <c r="F10" s="19"/>
      <c r="G10" s="19"/>
      <c r="H10" s="19"/>
      <c r="I10" s="19"/>
      <c r="N10" s="243" t="s">
        <v>40</v>
      </c>
      <c r="O10" s="244"/>
      <c r="P10" s="244"/>
      <c r="Q10" s="244"/>
      <c r="R10" s="245"/>
      <c r="S10" s="267" t="s">
        <v>13</v>
      </c>
      <c r="T10" s="268"/>
      <c r="U10" s="268"/>
      <c r="V10" s="268"/>
      <c r="W10" s="268"/>
      <c r="X10" s="268"/>
      <c r="Y10" s="269"/>
      <c r="Z10" s="19"/>
      <c r="AA10" s="19"/>
      <c r="BH10" s="15"/>
      <c r="BI10" s="15"/>
      <c r="BJ10" s="15"/>
      <c r="BK10" s="15"/>
      <c r="BL10" s="15"/>
      <c r="BM10" s="15"/>
    </row>
    <row r="11" spans="1:66" s="6" customFormat="1" ht="31.5" customHeight="1" thickBot="1" x14ac:dyDescent="0.3">
      <c r="A11" s="24"/>
      <c r="B11" s="135" t="s">
        <v>0</v>
      </c>
      <c r="C11" s="135" t="s">
        <v>55</v>
      </c>
      <c r="D11" s="135" t="s">
        <v>54</v>
      </c>
      <c r="E11" s="135" t="s">
        <v>1</v>
      </c>
      <c r="F11" s="136" t="s">
        <v>61</v>
      </c>
      <c r="G11" s="135" t="s">
        <v>64</v>
      </c>
      <c r="H11" s="135" t="s">
        <v>32</v>
      </c>
      <c r="I11" s="135" t="s">
        <v>3</v>
      </c>
      <c r="J11" s="135" t="s">
        <v>60</v>
      </c>
      <c r="K11" s="135" t="s">
        <v>63</v>
      </c>
      <c r="L11" s="135" t="s">
        <v>67</v>
      </c>
      <c r="M11" s="135" t="s">
        <v>35</v>
      </c>
      <c r="N11" s="137" t="s">
        <v>47</v>
      </c>
      <c r="O11" s="138" t="s">
        <v>41</v>
      </c>
      <c r="P11" s="138" t="s">
        <v>42</v>
      </c>
      <c r="Q11" s="138" t="s">
        <v>43</v>
      </c>
      <c r="R11" s="138" t="s">
        <v>91</v>
      </c>
      <c r="S11" s="139" t="s">
        <v>48</v>
      </c>
      <c r="T11" s="138" t="s">
        <v>44</v>
      </c>
      <c r="U11" s="138" t="s">
        <v>45</v>
      </c>
      <c r="V11" s="138" t="s">
        <v>46</v>
      </c>
      <c r="W11" s="138" t="s">
        <v>92</v>
      </c>
      <c r="X11" s="138" t="s">
        <v>93</v>
      </c>
      <c r="Y11" s="138" t="s">
        <v>120</v>
      </c>
      <c r="Z11" s="115" t="s">
        <v>66</v>
      </c>
      <c r="AA11" s="115" t="s">
        <v>68</v>
      </c>
      <c r="AB11" s="116" t="s">
        <v>87</v>
      </c>
      <c r="AG11" s="19"/>
      <c r="AH11" s="19"/>
      <c r="AI11" s="20"/>
      <c r="BI11" s="14"/>
      <c r="BJ11" s="14"/>
      <c r="BK11" s="14"/>
      <c r="BL11" s="14"/>
      <c r="BM11" s="14"/>
      <c r="BN11" s="14"/>
    </row>
    <row r="12" spans="1:66" ht="17.25" customHeight="1" x14ac:dyDescent="0.25">
      <c r="A12" s="17"/>
      <c r="B12" s="118">
        <v>1</v>
      </c>
      <c r="C12" s="142">
        <v>1</v>
      </c>
      <c r="D12" s="189" t="s">
        <v>69</v>
      </c>
      <c r="E12" s="124" t="s">
        <v>123</v>
      </c>
      <c r="F12" s="118" t="str">
        <f>_xlfn.XLOOKUP(Tabla1[[#This Row],[Estado]],Control!$C$32:$C$34,Control!$B$32:$B$34,"")</f>
        <v/>
      </c>
      <c r="G12" s="126"/>
      <c r="H12" s="150"/>
      <c r="I12" s="118" t="s">
        <v>6</v>
      </c>
      <c r="J12" s="12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12" s="129" t="s">
        <v>58</v>
      </c>
      <c r="L12" s="129">
        <v>5</v>
      </c>
      <c r="M12" s="142"/>
      <c r="N12" s="130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2" s="13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2" s="13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2" s="13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2" s="13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2" s="13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2" s="13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2" s="13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2" s="13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2" s="13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2" s="118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2" s="12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12" s="103" t="b">
        <f>ISNUMBER(SEARCH($H$4,Tabla1[[#This Row],[Materia]],1))</f>
        <v>1</v>
      </c>
      <c r="AA12" s="103" t="b">
        <f>IFERROR(IF(
    (COUNTIF(Tabla1[[#This Row],[R1]:[A7]], _xlfn.XLOOKUP($H$4,Tabla1[Materia],Tabla1[Numero],""))) &gt; 0,
    TRUE,
    FALSE
),FALSE)</f>
        <v>0</v>
      </c>
      <c r="AB12" s="105">
        <v>1</v>
      </c>
      <c r="AC12" s="19"/>
      <c r="AD12" s="19"/>
      <c r="AE12" s="19"/>
      <c r="AF12" s="19"/>
      <c r="AH12" s="19"/>
      <c r="AI12" s="19"/>
      <c r="BI12" s="15"/>
      <c r="BJ12" s="15"/>
      <c r="BK12" s="15"/>
      <c r="BL12" s="15"/>
      <c r="BM12" s="15"/>
      <c r="BN12" s="15"/>
    </row>
    <row r="13" spans="1:66" ht="17.25" customHeight="1" x14ac:dyDescent="0.25">
      <c r="A13" s="17"/>
      <c r="B13" s="11">
        <v>2</v>
      </c>
      <c r="C13" s="143">
        <v>2</v>
      </c>
      <c r="D13" s="190" t="s">
        <v>69</v>
      </c>
      <c r="E13" s="62" t="s">
        <v>88</v>
      </c>
      <c r="F13" s="11" t="str">
        <f>_xlfn.XLOOKUP(Tabla1[[#This Row],[Estado]],Control!$C$32:$C$34,Control!$B$32:$B$34,"")</f>
        <v/>
      </c>
      <c r="G13" s="108"/>
      <c r="H13" s="151"/>
      <c r="I13" s="11" t="s">
        <v>6</v>
      </c>
      <c r="J13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13" s="11" t="s">
        <v>58</v>
      </c>
      <c r="L13" s="11">
        <v>5</v>
      </c>
      <c r="M13" s="143"/>
      <c r="N13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3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3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3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3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3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3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3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3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3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3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3" s="98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13" s="103" t="b">
        <f>ISNUMBER(SEARCH($H$4,Tabla1[[#This Row],[Materia]],1))</f>
        <v>1</v>
      </c>
      <c r="AA13" s="103" t="b">
        <f>IFERROR(IF(
    (COUNTIF(Tabla1[[#This Row],[R1]:[A7]], _xlfn.XLOOKUP($H$4,Tabla1[Materia],Tabla1[Numero],""))) &gt; 0,
    TRUE,
    FALSE
),FALSE)</f>
        <v>0</v>
      </c>
      <c r="AB13" s="105">
        <v>2</v>
      </c>
      <c r="AC13" s="19"/>
      <c r="AF13" s="19"/>
      <c r="AG13" s="19"/>
      <c r="AH13" s="19"/>
      <c r="AI13" s="19"/>
    </row>
    <row r="14" spans="1:66" ht="17.25" customHeight="1" x14ac:dyDescent="0.25">
      <c r="A14" s="17"/>
      <c r="B14" s="11">
        <v>3</v>
      </c>
      <c r="C14" s="143">
        <v>3</v>
      </c>
      <c r="D14" s="190" t="s">
        <v>69</v>
      </c>
      <c r="E14" s="62" t="s">
        <v>25</v>
      </c>
      <c r="F14" s="11" t="str">
        <f>_xlfn.XLOOKUP(Tabla1[[#This Row],[Estado]],Control!$C$32:$C$34,Control!$B$32:$B$34,"")</f>
        <v/>
      </c>
      <c r="G14" s="108"/>
      <c r="H14" s="151"/>
      <c r="I14" s="11" t="s">
        <v>6</v>
      </c>
      <c r="J14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14" s="11" t="s">
        <v>58</v>
      </c>
      <c r="L14" s="11">
        <v>2</v>
      </c>
      <c r="M14" s="143"/>
      <c r="N14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4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4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4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4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4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4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4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4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4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4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4" s="98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14" s="103" t="b">
        <f>ISNUMBER(SEARCH($H$4,Tabla1[[#This Row],[Materia]],1))</f>
        <v>1</v>
      </c>
      <c r="AA14" s="103" t="b">
        <f>IFERROR(IF(
    (COUNTIF(Tabla1[[#This Row],[R1]:[A7]], _xlfn.XLOOKUP($H$4,Tabla1[Materia],Tabla1[Numero],""))) &gt; 0,
    TRUE,
    FALSE
),FALSE)</f>
        <v>0</v>
      </c>
      <c r="AB14" s="105">
        <v>3</v>
      </c>
      <c r="AC14" s="19"/>
      <c r="AD14" s="19"/>
      <c r="AE14" s="19"/>
      <c r="AG14" s="19"/>
      <c r="AH14" s="19"/>
      <c r="AI14" s="19"/>
      <c r="AJ14" s="19"/>
      <c r="AK14" s="23"/>
    </row>
    <row r="15" spans="1:66" ht="17.25" customHeight="1" x14ac:dyDescent="0.25">
      <c r="A15" s="17"/>
      <c r="B15" s="11">
        <v>4</v>
      </c>
      <c r="C15" s="143">
        <v>4</v>
      </c>
      <c r="D15" s="190" t="s">
        <v>69</v>
      </c>
      <c r="E15" s="62" t="s">
        <v>94</v>
      </c>
      <c r="F15" s="11" t="str">
        <f>_xlfn.XLOOKUP(Tabla1[[#This Row],[Estado]],Control!$C$32:$C$34,Control!$B$32:$B$34,"")</f>
        <v/>
      </c>
      <c r="G15" s="108"/>
      <c r="H15" s="151"/>
      <c r="I15" s="11" t="s">
        <v>6</v>
      </c>
      <c r="J15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15" s="11" t="s">
        <v>58</v>
      </c>
      <c r="L15" s="11">
        <v>3</v>
      </c>
      <c r="M15" s="143"/>
      <c r="N15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5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5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5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5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5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5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5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5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5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5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5" s="98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15" s="103" t="b">
        <f>ISNUMBER(SEARCH($H$4,Tabla1[[#This Row],[Materia]],1))</f>
        <v>1</v>
      </c>
      <c r="AA15" s="103" t="b">
        <f>IFERROR(IF(
    (COUNTIF(Tabla1[[#This Row],[R1]:[A7]], _xlfn.XLOOKUP($H$4,Tabla1[Materia],Tabla1[Numero],""))) &gt; 0,
    TRUE,
    FALSE
),FALSE)</f>
        <v>0</v>
      </c>
      <c r="AB15" s="105">
        <v>4</v>
      </c>
      <c r="AC15" s="19"/>
      <c r="AD15" s="19"/>
      <c r="AE15" s="19"/>
      <c r="AF15" s="19"/>
    </row>
    <row r="16" spans="1:66" ht="17.25" customHeight="1" x14ac:dyDescent="0.25">
      <c r="A16" s="17"/>
      <c r="B16" s="11">
        <v>5</v>
      </c>
      <c r="C16" s="143">
        <v>5</v>
      </c>
      <c r="D16" s="190" t="s">
        <v>69</v>
      </c>
      <c r="E16" s="62" t="s">
        <v>124</v>
      </c>
      <c r="F16" s="11" t="str">
        <f>_xlfn.XLOOKUP(Tabla1[[#This Row],[Estado]],Control!$C$32:$C$34,Control!$B$32:$B$34,"")</f>
        <v/>
      </c>
      <c r="G16" s="108"/>
      <c r="H16" s="151"/>
      <c r="I16" s="11" t="s">
        <v>6</v>
      </c>
      <c r="J16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16" s="11" t="s">
        <v>58</v>
      </c>
      <c r="L16" s="11">
        <v>5</v>
      </c>
      <c r="M16" s="143"/>
      <c r="N16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6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6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6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6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6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6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6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6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6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6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6" s="98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16" s="103" t="b">
        <f>ISNUMBER(SEARCH($H$4,Tabla1[[#This Row],[Materia]],1))</f>
        <v>1</v>
      </c>
      <c r="AA16" s="103" t="b">
        <f>IFERROR(IF(
    (COUNTIF(Tabla1[[#This Row],[R1]:[A7]], _xlfn.XLOOKUP($H$4,Tabla1[Materia],Tabla1[Numero],""))) &gt; 0,
    TRUE,
    FALSE
),FALSE)</f>
        <v>0</v>
      </c>
      <c r="AB16" s="105">
        <v>5</v>
      </c>
      <c r="AC16" s="19"/>
      <c r="AD16" s="19"/>
      <c r="AE16" s="19"/>
      <c r="AF16" s="19"/>
    </row>
    <row r="17" spans="1:37" ht="17.25" customHeight="1" x14ac:dyDescent="0.25">
      <c r="A17" s="17"/>
      <c r="B17" s="11">
        <v>6</v>
      </c>
      <c r="C17" s="143">
        <v>6</v>
      </c>
      <c r="D17" s="190" t="s">
        <v>69</v>
      </c>
      <c r="E17" s="62" t="s">
        <v>89</v>
      </c>
      <c r="F17" s="11" t="str">
        <f>_xlfn.XLOOKUP(Tabla1[[#This Row],[Estado]],Control!$C$32:$C$34,Control!$B$32:$B$34,"")</f>
        <v/>
      </c>
      <c r="G17" s="108"/>
      <c r="H17" s="151"/>
      <c r="I17" s="11" t="s">
        <v>6</v>
      </c>
      <c r="J17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17" s="11" t="s">
        <v>58</v>
      </c>
      <c r="L17" s="11">
        <v>5</v>
      </c>
      <c r="M17" s="143"/>
      <c r="N17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7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7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7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7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7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7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7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7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7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7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7" s="98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17" s="103" t="b">
        <f>ISNUMBER(SEARCH($H$4,Tabla1[[#This Row],[Materia]],1))</f>
        <v>1</v>
      </c>
      <c r="AA17" s="103" t="b">
        <f>IFERROR(IF(
    (COUNTIF(Tabla1[[#This Row],[R1]:[A7]], _xlfn.XLOOKUP($H$4,Tabla1[Materia],Tabla1[Numero],""))) &gt; 0,
    TRUE,
    FALSE
),FALSE)</f>
        <v>0</v>
      </c>
      <c r="AB17" s="105">
        <v>6</v>
      </c>
      <c r="AC17" s="19"/>
      <c r="AD17" s="19"/>
      <c r="AE17" s="19"/>
      <c r="AF17" s="19"/>
      <c r="AG17" s="19"/>
      <c r="AH17" s="19"/>
      <c r="AI17" s="19"/>
      <c r="AJ17" s="19"/>
      <c r="AK17" s="23"/>
    </row>
    <row r="18" spans="1:37" ht="17.25" customHeight="1" thickBot="1" x14ac:dyDescent="0.3">
      <c r="A18" s="17"/>
      <c r="B18" s="11">
        <v>7</v>
      </c>
      <c r="C18" s="143">
        <v>7</v>
      </c>
      <c r="D18" s="190" t="s">
        <v>69</v>
      </c>
      <c r="E18" s="62" t="s">
        <v>125</v>
      </c>
      <c r="F18" s="11" t="str">
        <f>_xlfn.XLOOKUP(Tabla1[[#This Row],[Estado]],Control!$C$32:$C$34,Control!$B$32:$B$34,"")</f>
        <v/>
      </c>
      <c r="G18" s="108"/>
      <c r="H18" s="151"/>
      <c r="I18" s="11" t="s">
        <v>6</v>
      </c>
      <c r="J18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18" s="11" t="s">
        <v>58</v>
      </c>
      <c r="L18" s="11">
        <v>3</v>
      </c>
      <c r="M18" s="143"/>
      <c r="N18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8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8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8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8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8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8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8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8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8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8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8" s="98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18" s="170" t="b">
        <f>ISNUMBER(SEARCH($H$4,Tabla1[[#This Row],[Materia]],1))</f>
        <v>1</v>
      </c>
      <c r="AA18" s="170" t="b">
        <f>IFERROR(IF(
    (COUNTIF(Tabla1[[#This Row],[R1]:[A7]], _xlfn.XLOOKUP($H$4,Tabla1[Materia],Tabla1[Numero],""))) &gt; 0,
    TRUE,
    FALSE
),FALSE)</f>
        <v>0</v>
      </c>
      <c r="AB18" s="105">
        <v>7</v>
      </c>
      <c r="AC18" s="19"/>
      <c r="AD18" s="19"/>
      <c r="AE18" s="19"/>
      <c r="AF18" s="19"/>
      <c r="AG18" s="19"/>
      <c r="AH18" s="19"/>
      <c r="AI18" s="19"/>
      <c r="AJ18" s="19"/>
      <c r="AK18" s="23"/>
    </row>
    <row r="19" spans="1:37" ht="17.25" customHeight="1" thickBot="1" x14ac:dyDescent="0.3">
      <c r="A19" s="17"/>
      <c r="B19" s="123">
        <v>8</v>
      </c>
      <c r="C19" s="144">
        <v>8</v>
      </c>
      <c r="D19" s="191" t="s">
        <v>69</v>
      </c>
      <c r="E19" s="125" t="s">
        <v>109</v>
      </c>
      <c r="F19" s="123" t="str">
        <f>_xlfn.XLOOKUP(Tabla1[[#This Row],[Estado]],Control!$C$32:$C$34,Control!$B$32:$B$34,"")</f>
        <v/>
      </c>
      <c r="G19" s="128"/>
      <c r="H19" s="152"/>
      <c r="I19" s="123" t="s">
        <v>6</v>
      </c>
      <c r="J19" s="12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19" s="123" t="s">
        <v>58</v>
      </c>
      <c r="L19" s="123">
        <v>2</v>
      </c>
      <c r="M19" s="144"/>
      <c r="N19" s="172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9" s="17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9" s="17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9" s="17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9" s="17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9" s="172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9" s="17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9" s="17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9" s="17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9" s="17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9" s="12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9" s="13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19" s="170" t="b">
        <f>ISNUMBER(SEARCH($H$4,Tabla1[[#This Row],[Materia]],1))</f>
        <v>1</v>
      </c>
      <c r="AA19" s="170" t="b">
        <f>IFERROR(IF(
    (COUNTIF(Tabla1[[#This Row],[R1]:[A7]], _xlfn.XLOOKUP($H$4,Tabla1[Materia],Tabla1[Numero],""))) &gt; 0,
    TRUE,
    FALSE
),FALSE)</f>
        <v>0</v>
      </c>
      <c r="AB19" s="221">
        <v>8</v>
      </c>
      <c r="AC19" s="19"/>
      <c r="AD19" s="19"/>
      <c r="AE19" s="19"/>
      <c r="AF19" s="19"/>
      <c r="AG19" s="19"/>
      <c r="AH19" s="19"/>
      <c r="AI19" s="19"/>
      <c r="AJ19" s="19"/>
      <c r="AK19" s="23"/>
    </row>
    <row r="20" spans="1:37" ht="17.25" customHeight="1" x14ac:dyDescent="0.25">
      <c r="A20" s="17"/>
      <c r="B20" s="13">
        <v>9</v>
      </c>
      <c r="C20" s="145">
        <v>9</v>
      </c>
      <c r="D20" s="192" t="s">
        <v>70</v>
      </c>
      <c r="E20" s="63" t="s">
        <v>126</v>
      </c>
      <c r="F20" s="13" t="str">
        <f>_xlfn.XLOOKUP(Tabla1[[#This Row],[Estado]],Control!$C$32:$C$34,Control!$B$32:$B$34,"")</f>
        <v/>
      </c>
      <c r="G20" s="109"/>
      <c r="H20" s="153"/>
      <c r="I20" s="13" t="s">
        <v>6</v>
      </c>
      <c r="J20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0" s="13" t="s">
        <v>58</v>
      </c>
      <c r="L20" s="13">
        <v>5</v>
      </c>
      <c r="M20" s="145"/>
      <c r="N20" s="11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0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5</v>
      </c>
      <c r="P20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0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0" s="9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0" s="11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0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0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0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0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0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0" s="9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20" s="103" t="b">
        <f>ISNUMBER(SEARCH($H$4,Tabla1[[#This Row],[Materia]],1))</f>
        <v>1</v>
      </c>
      <c r="AA20" s="103" t="b">
        <f>IFERROR(IF(
    (COUNTIF(Tabla1[[#This Row],[R1]:[A7]], _xlfn.XLOOKUP($H$4,Tabla1[Materia],Tabla1[Numero],""))) &gt; 0,
    TRUE,
    FALSE
),FALSE)</f>
        <v>0</v>
      </c>
      <c r="AB20" s="105">
        <v>9</v>
      </c>
      <c r="AC20" s="19"/>
      <c r="AD20" s="19"/>
      <c r="AE20" s="19"/>
      <c r="AF20" s="19"/>
      <c r="AG20" s="19"/>
      <c r="AH20" s="19"/>
      <c r="AI20" s="19"/>
      <c r="AJ20" s="19"/>
      <c r="AK20" s="23"/>
    </row>
    <row r="21" spans="1:37" ht="17.25" customHeight="1" x14ac:dyDescent="0.25">
      <c r="A21" s="17"/>
      <c r="B21" s="13">
        <v>10</v>
      </c>
      <c r="C21" s="145">
        <v>10</v>
      </c>
      <c r="D21" s="192" t="s">
        <v>70</v>
      </c>
      <c r="E21" s="63" t="s">
        <v>90</v>
      </c>
      <c r="F21" s="13" t="str">
        <f>_xlfn.XLOOKUP(Tabla1[[#This Row],[Estado]],Control!$C$32:$C$34,Control!$B$32:$B$34,"")</f>
        <v/>
      </c>
      <c r="G21" s="109"/>
      <c r="H21" s="153"/>
      <c r="I21" s="13" t="s">
        <v>6</v>
      </c>
      <c r="J21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1" s="13" t="s">
        <v>58</v>
      </c>
      <c r="L21" s="13">
        <v>3</v>
      </c>
      <c r="M21" s="145"/>
      <c r="N21" s="11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1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P21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1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1" s="9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1" s="11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1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1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1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1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1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1" s="9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21" s="103" t="b">
        <f>ISNUMBER(SEARCH($H$4,Tabla1[[#This Row],[Materia]],1))</f>
        <v>1</v>
      </c>
      <c r="AA21" s="103" t="b">
        <f>IFERROR(IF(
    (COUNTIF(Tabla1[[#This Row],[R1]:[A7]], _xlfn.XLOOKUP($H$4,Tabla1[Materia],Tabla1[Numero],""))) &gt; 0,
    TRUE,
    FALSE
),FALSE)</f>
        <v>0</v>
      </c>
      <c r="AB21" s="105">
        <v>10</v>
      </c>
      <c r="AC21" s="19"/>
      <c r="AD21" s="19"/>
      <c r="AE21" s="19"/>
      <c r="AF21" s="19"/>
      <c r="AG21" s="19"/>
      <c r="AH21" s="19"/>
      <c r="AI21" s="19"/>
      <c r="AJ21" s="19"/>
      <c r="AK21" s="23"/>
    </row>
    <row r="22" spans="1:37" ht="17.25" customHeight="1" x14ac:dyDescent="0.25">
      <c r="A22" s="17"/>
      <c r="B22" s="13">
        <v>11</v>
      </c>
      <c r="C22" s="145">
        <v>11</v>
      </c>
      <c r="D22" s="192" t="s">
        <v>70</v>
      </c>
      <c r="E22" s="63" t="s">
        <v>127</v>
      </c>
      <c r="F22" s="13" t="str">
        <f>_xlfn.XLOOKUP(Tabla1[[#This Row],[Estado]],Control!$C$32:$C$34,Control!$B$32:$B$34,"")</f>
        <v/>
      </c>
      <c r="G22" s="109"/>
      <c r="H22" s="153"/>
      <c r="I22" s="13" t="s">
        <v>6</v>
      </c>
      <c r="J22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2" s="13" t="s">
        <v>58</v>
      </c>
      <c r="L22" s="13">
        <v>6</v>
      </c>
      <c r="M22" s="145"/>
      <c r="N22" s="11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2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P22" s="1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5</v>
      </c>
      <c r="Q22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2" s="9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2" s="11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2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2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2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2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2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2" s="9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22" s="103" t="b">
        <f>ISNUMBER(SEARCH($H$4,Tabla1[[#This Row],[Materia]],1))</f>
        <v>1</v>
      </c>
      <c r="AA22" s="103" t="b">
        <f>IFERROR(IF(
    (COUNTIF(Tabla1[[#This Row],[R1]:[A7]], _xlfn.XLOOKUP($H$4,Tabla1[Materia],Tabla1[Numero],""))) &gt; 0,
    TRUE,
    FALSE
),FALSE)</f>
        <v>0</v>
      </c>
      <c r="AB22" s="105">
        <v>11</v>
      </c>
      <c r="AC22" s="19"/>
      <c r="AD22" s="19"/>
      <c r="AE22" s="19"/>
      <c r="AF22" s="19"/>
      <c r="AG22" s="19"/>
      <c r="AH22" s="19"/>
      <c r="AI22" s="19"/>
      <c r="AJ22" s="19"/>
      <c r="AK22" s="23"/>
    </row>
    <row r="23" spans="1:37" ht="17.25" customHeight="1" x14ac:dyDescent="0.25">
      <c r="A23" s="17"/>
      <c r="B23" s="13">
        <v>12</v>
      </c>
      <c r="C23" s="145">
        <v>12</v>
      </c>
      <c r="D23" s="192" t="s">
        <v>70</v>
      </c>
      <c r="E23" s="63" t="s">
        <v>95</v>
      </c>
      <c r="F23" s="13" t="str">
        <f>_xlfn.XLOOKUP(Tabla1[[#This Row],[Estado]],Control!$C$32:$C$34,Control!$B$32:$B$34,"")</f>
        <v/>
      </c>
      <c r="G23" s="109"/>
      <c r="H23" s="153"/>
      <c r="I23" s="13" t="s">
        <v>6</v>
      </c>
      <c r="J23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3" s="13" t="s">
        <v>58</v>
      </c>
      <c r="L23" s="13">
        <v>4</v>
      </c>
      <c r="M23" s="145"/>
      <c r="N23" s="7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3" s="7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P23" s="7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5</v>
      </c>
      <c r="Q23" s="7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3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3" s="7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3" s="7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3" s="7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3" s="7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3" s="7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3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3" s="9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23" s="103" t="b">
        <f>ISNUMBER(SEARCH($H$4,Tabla1[[#This Row],[Materia]],1))</f>
        <v>1</v>
      </c>
      <c r="AA23" s="103" t="b">
        <f>IFERROR(IF(
    (COUNTIF(Tabla1[[#This Row],[R1]:[A7]], _xlfn.XLOOKUP($H$4,Tabla1[Materia],Tabla1[Numero],""))) &gt; 0,
    TRUE,
    FALSE
),FALSE)</f>
        <v>0</v>
      </c>
      <c r="AB23" s="105">
        <v>12</v>
      </c>
      <c r="AC23" s="19"/>
      <c r="AD23" s="19"/>
      <c r="AE23" s="19"/>
      <c r="AF23" s="19"/>
      <c r="AG23" s="19"/>
      <c r="AH23" s="19"/>
      <c r="AI23" s="19"/>
      <c r="AJ23" s="19"/>
      <c r="AK23" s="23"/>
    </row>
    <row r="24" spans="1:37" ht="17.25" customHeight="1" x14ac:dyDescent="0.25">
      <c r="A24" s="17"/>
      <c r="B24" s="13">
        <v>13</v>
      </c>
      <c r="C24" s="145">
        <v>13</v>
      </c>
      <c r="D24" s="192" t="s">
        <v>70</v>
      </c>
      <c r="E24" s="63" t="s">
        <v>96</v>
      </c>
      <c r="F24" s="13" t="str">
        <f>_xlfn.XLOOKUP(Tabla1[[#This Row],[Estado]],Control!$C$32:$C$34,Control!$B$32:$B$34,"")</f>
        <v/>
      </c>
      <c r="G24" s="109"/>
      <c r="H24" s="153"/>
      <c r="I24" s="13" t="s">
        <v>6</v>
      </c>
      <c r="J24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4" s="13" t="s">
        <v>58</v>
      </c>
      <c r="L24" s="13">
        <v>2</v>
      </c>
      <c r="M24" s="145"/>
      <c r="N24" s="7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4" s="7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5</v>
      </c>
      <c r="P24" s="7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4" s="7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4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4" s="7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4" s="7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4" s="7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4" s="7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4" s="7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4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4" s="9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24" s="103" t="b">
        <f>ISNUMBER(SEARCH($H$4,Tabla1[[#This Row],[Materia]],1))</f>
        <v>1</v>
      </c>
      <c r="AA24" s="103" t="b">
        <f>IFERROR(IF(
    (COUNTIF(Tabla1[[#This Row],[R1]:[A7]], _xlfn.XLOOKUP($H$4,Tabla1[Materia],Tabla1[Numero],""))) &gt; 0,
    TRUE,
    FALSE
),FALSE)</f>
        <v>0</v>
      </c>
      <c r="AB24" s="105">
        <v>13</v>
      </c>
      <c r="AC24" s="19"/>
      <c r="AD24" s="19"/>
      <c r="AE24" s="19"/>
      <c r="AF24" s="19"/>
      <c r="AG24" s="19"/>
      <c r="AH24" s="19"/>
      <c r="AI24" s="19"/>
      <c r="AJ24" s="19"/>
      <c r="AK24" s="23"/>
    </row>
    <row r="25" spans="1:37" ht="17.25" customHeight="1" thickBot="1" x14ac:dyDescent="0.3">
      <c r="A25" s="17"/>
      <c r="B25" s="13">
        <v>14</v>
      </c>
      <c r="C25" s="145">
        <v>14</v>
      </c>
      <c r="D25" s="192" t="s">
        <v>70</v>
      </c>
      <c r="E25" s="63" t="s">
        <v>128</v>
      </c>
      <c r="F25" s="13" t="str">
        <f>_xlfn.XLOOKUP(Tabla1[[#This Row],[Estado]],Control!$C$32:$C$34,Control!$B$32:$B$34,"")</f>
        <v/>
      </c>
      <c r="G25" s="109"/>
      <c r="H25" s="153"/>
      <c r="I25" s="13" t="s">
        <v>6</v>
      </c>
      <c r="J25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5" s="13" t="s">
        <v>58</v>
      </c>
      <c r="L25" s="13">
        <v>3</v>
      </c>
      <c r="M25" s="145"/>
      <c r="N25" s="7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5" s="7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5</v>
      </c>
      <c r="P25" s="7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7</v>
      </c>
      <c r="Q25" s="7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5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5" s="7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5" s="7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5" s="7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5" s="7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5" s="7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5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5" s="9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25" s="170" t="b">
        <f>ISNUMBER(SEARCH($H$4,Tabla1[[#This Row],[Materia]],1))</f>
        <v>1</v>
      </c>
      <c r="AA25" s="170" t="b">
        <f>IFERROR(IF(
    (COUNTIF(Tabla1[[#This Row],[R1]:[A7]], _xlfn.XLOOKUP($H$4,Tabla1[Materia],Tabla1[Numero],""))) &gt; 0,
    TRUE,
    FALSE
),FALSE)</f>
        <v>0</v>
      </c>
      <c r="AB25" s="105">
        <v>14</v>
      </c>
      <c r="AC25" s="19"/>
      <c r="AD25" s="19"/>
      <c r="AE25" s="19"/>
      <c r="AF25" s="19"/>
      <c r="AG25" s="19"/>
      <c r="AH25" s="19"/>
      <c r="AI25" s="19"/>
      <c r="AJ25" s="19"/>
      <c r="AK25" s="23"/>
    </row>
    <row r="26" spans="1:37" ht="17.25" customHeight="1" x14ac:dyDescent="0.25">
      <c r="A26" s="17"/>
      <c r="B26" s="13">
        <v>15</v>
      </c>
      <c r="C26" s="145">
        <v>15</v>
      </c>
      <c r="D26" s="192" t="s">
        <v>70</v>
      </c>
      <c r="E26" s="63" t="s">
        <v>130</v>
      </c>
      <c r="F26" s="13" t="str">
        <f>_xlfn.XLOOKUP(Tabla1[[#This Row],[Estado]],Control!$C$32:$C$34,Control!$B$32:$B$34,"")</f>
        <v/>
      </c>
      <c r="G26" s="109"/>
      <c r="H26" s="153"/>
      <c r="I26" s="13" t="s">
        <v>6</v>
      </c>
      <c r="J26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26" s="13" t="s">
        <v>58</v>
      </c>
      <c r="L26" s="13">
        <v>2</v>
      </c>
      <c r="M26" s="145"/>
      <c r="N26" s="73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26" s="7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6" s="7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6" s="7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6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6" s="7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6" s="7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6" s="7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6" s="7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6" s="7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6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6" s="9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26" s="103" t="b">
        <f>ISNUMBER(SEARCH($H$4,Tabla1[[#This Row],[Materia]],1))</f>
        <v>1</v>
      </c>
      <c r="AA26" s="103" t="b">
        <f>IFERROR(IF(
    (COUNTIF(Tabla1[[#This Row],[R1]:[A7]], _xlfn.XLOOKUP($H$4,Tabla1[Materia],Tabla1[Numero],""))) &gt; 0,
    TRUE,
    FALSE
),FALSE)</f>
        <v>0</v>
      </c>
      <c r="AB26" s="105">
        <v>15</v>
      </c>
      <c r="AC26" s="19"/>
      <c r="AD26" s="19"/>
      <c r="AE26" s="19"/>
      <c r="AF26" s="19"/>
      <c r="AG26" s="19"/>
      <c r="AH26" s="19"/>
      <c r="AI26" s="19"/>
      <c r="AJ26" s="19"/>
      <c r="AK26" s="23"/>
    </row>
    <row r="27" spans="1:37" ht="17.25" customHeight="1" x14ac:dyDescent="0.25">
      <c r="A27" s="17"/>
      <c r="B27" s="13">
        <v>16</v>
      </c>
      <c r="C27" s="145">
        <v>16</v>
      </c>
      <c r="D27" s="192" t="s">
        <v>70</v>
      </c>
      <c r="E27" s="63" t="s">
        <v>129</v>
      </c>
      <c r="F27" s="13" t="str">
        <f>_xlfn.XLOOKUP(Tabla1[[#This Row],[Estado]],Control!$C$32:$C$34,Control!$B$32:$B$34,"")</f>
        <v/>
      </c>
      <c r="G27" s="109"/>
      <c r="H27" s="153"/>
      <c r="I27" s="13" t="s">
        <v>6</v>
      </c>
      <c r="J27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7" s="13" t="s">
        <v>58</v>
      </c>
      <c r="L27" s="13">
        <v>5</v>
      </c>
      <c r="M27" s="145"/>
      <c r="N27" s="7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7" s="7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P27" s="7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7" s="7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7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7" s="7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7" s="7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7" s="7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7" s="7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7" s="7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7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7" s="9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27" s="103" t="b">
        <f>ISNUMBER(SEARCH($H$4,Tabla1[[#This Row],[Materia]],1))</f>
        <v>1</v>
      </c>
      <c r="AA27" s="103" t="b">
        <f>IFERROR(IF(
    (COUNTIF(Tabla1[[#This Row],[R1]:[A7]], _xlfn.XLOOKUP($H$4,Tabla1[Materia],Tabla1[Numero],""))) &gt; 0,
    TRUE,
    FALSE
),FALSE)</f>
        <v>0</v>
      </c>
      <c r="AB27" s="105">
        <v>16</v>
      </c>
      <c r="AC27" s="19"/>
      <c r="AD27" s="19"/>
      <c r="AE27" s="19"/>
      <c r="AF27" s="19"/>
      <c r="AG27" s="19"/>
      <c r="AH27" s="19"/>
      <c r="AI27" s="19"/>
      <c r="AJ27" s="19"/>
      <c r="AK27" s="23"/>
    </row>
    <row r="28" spans="1:37" ht="17.25" customHeight="1" thickBot="1" x14ac:dyDescent="0.3">
      <c r="A28" s="17"/>
      <c r="B28" s="122">
        <v>17</v>
      </c>
      <c r="C28" s="159">
        <v>17</v>
      </c>
      <c r="D28" s="193" t="s">
        <v>70</v>
      </c>
      <c r="E28" s="222" t="s">
        <v>110</v>
      </c>
      <c r="F28" s="122" t="str">
        <f>_xlfn.XLOOKUP(Tabla1[[#This Row],[Estado]],Control!$C$32:$C$34,Control!$B$32:$B$34,"")</f>
        <v/>
      </c>
      <c r="G28" s="127"/>
      <c r="H28" s="154"/>
      <c r="I28" s="122" t="s">
        <v>6</v>
      </c>
      <c r="J28" s="12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8" s="122" t="s">
        <v>58</v>
      </c>
      <c r="L28" s="122">
        <v>2</v>
      </c>
      <c r="M28" s="159"/>
      <c r="N28" s="22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8" s="12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P28" s="122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5</v>
      </c>
      <c r="Q28" s="122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8</v>
      </c>
      <c r="R28" s="13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8" s="22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8" s="12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8" s="12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8" s="12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8" s="12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8" s="12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8" s="13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28" s="170" t="b">
        <f>ISNUMBER(SEARCH($H$4,Tabla1[[#This Row],[Materia]],1))</f>
        <v>1</v>
      </c>
      <c r="AA28" s="170" t="b">
        <f>IFERROR(IF(
    (COUNTIF(Tabla1[[#This Row],[R1]:[A7]], _xlfn.XLOOKUP($H$4,Tabla1[Materia],Tabla1[Numero],""))) &gt; 0,
    TRUE,
    FALSE
),FALSE)</f>
        <v>0</v>
      </c>
      <c r="AB28" s="221">
        <v>17</v>
      </c>
      <c r="AC28" s="19"/>
      <c r="AD28" s="19"/>
      <c r="AE28" s="19"/>
      <c r="AF28" s="19"/>
      <c r="AG28" s="19"/>
      <c r="AH28" s="19"/>
      <c r="AI28" s="19"/>
      <c r="AJ28" s="19"/>
      <c r="AK28" s="23"/>
    </row>
    <row r="29" spans="1:37" ht="17.25" customHeight="1" x14ac:dyDescent="0.25">
      <c r="A29" s="17"/>
      <c r="B29" s="43">
        <v>18</v>
      </c>
      <c r="C29" s="146">
        <v>18</v>
      </c>
      <c r="D29" s="194" t="s">
        <v>71</v>
      </c>
      <c r="E29" s="64" t="s">
        <v>117</v>
      </c>
      <c r="F29" s="43" t="str">
        <f>_xlfn.XLOOKUP(Tabla1[[#This Row],[Estado]],Control!$C$32:$C$34,Control!$B$32:$B$34,"")</f>
        <v/>
      </c>
      <c r="G29" s="110"/>
      <c r="H29" s="155"/>
      <c r="I29" s="43" t="s">
        <v>6</v>
      </c>
      <c r="J29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9" s="43" t="s">
        <v>58</v>
      </c>
      <c r="L29" s="43">
        <v>3</v>
      </c>
      <c r="M29" s="146"/>
      <c r="N29" s="1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6</v>
      </c>
      <c r="O29" s="1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9</v>
      </c>
      <c r="P29" s="17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9" s="1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9" s="17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9" s="1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T29" s="17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5</v>
      </c>
      <c r="U29" s="1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9" s="1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9" s="1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9" s="23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9" s="10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29" s="103" t="b">
        <f>ISNUMBER(SEARCH($H$4,Tabla1[[#This Row],[Materia]],1))</f>
        <v>1</v>
      </c>
      <c r="AA29" s="101" t="b">
        <f>IFERROR(IF(
    (COUNTIF(Tabla1[[#This Row],[R1]:[A7]], _xlfn.XLOOKUP($H$4,Tabla1[Materia],Tabla1[Numero],""))) &gt; 0,
    TRUE,
    FALSE
),FALSE)</f>
        <v>0</v>
      </c>
      <c r="AB29" s="105">
        <v>18</v>
      </c>
      <c r="AC29" s="19"/>
      <c r="AD29" s="19"/>
      <c r="AE29" s="19"/>
      <c r="AF29" s="19"/>
      <c r="AG29" s="19"/>
      <c r="AH29" s="19"/>
      <c r="AI29" s="19"/>
      <c r="AJ29" s="19"/>
      <c r="AK29" s="23"/>
    </row>
    <row r="30" spans="1:37" ht="17.25" customHeight="1" x14ac:dyDescent="0.25">
      <c r="A30" s="17"/>
      <c r="B30" s="43">
        <v>19</v>
      </c>
      <c r="C30" s="146">
        <v>19</v>
      </c>
      <c r="D30" s="194" t="s">
        <v>71</v>
      </c>
      <c r="E30" s="64" t="s">
        <v>97</v>
      </c>
      <c r="F30" s="43" t="str">
        <f>_xlfn.XLOOKUP(Tabla1[[#This Row],[Estado]],Control!$C$32:$C$34,Control!$B$32:$B$34,"")</f>
        <v/>
      </c>
      <c r="G30" s="110"/>
      <c r="H30" s="155"/>
      <c r="I30" s="43" t="s">
        <v>6</v>
      </c>
      <c r="J30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0" s="43" t="s">
        <v>58</v>
      </c>
      <c r="L30" s="43">
        <v>6</v>
      </c>
      <c r="M30" s="146"/>
      <c r="N30" s="7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30" s="7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P30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0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0" s="7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0" s="7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T30" s="7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U30" s="77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5</v>
      </c>
      <c r="V30" s="7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0" s="7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0" s="23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0" s="10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30" s="103" t="b">
        <f>ISNUMBER(SEARCH($H$4,Tabla1[[#This Row],[Materia]],1))</f>
        <v>1</v>
      </c>
      <c r="AA30" s="71" t="b">
        <f>IFERROR(IF(
    (COUNTIF(Tabla1[[#This Row],[R1]:[A7]], _xlfn.XLOOKUP($H$4,Tabla1[Materia],Tabla1[Numero],""))) &gt; 0,
    TRUE,
    FALSE
),FALSE)</f>
        <v>0</v>
      </c>
      <c r="AB30" s="105">
        <v>19</v>
      </c>
      <c r="AC30" s="19"/>
      <c r="AD30" s="19"/>
      <c r="AE30" s="19"/>
      <c r="AF30" s="19"/>
      <c r="AG30" s="19"/>
      <c r="AH30" s="19"/>
      <c r="AI30" s="19"/>
      <c r="AJ30" s="19"/>
      <c r="AK30" s="23"/>
    </row>
    <row r="31" spans="1:37" ht="17.25" customHeight="1" x14ac:dyDescent="0.25">
      <c r="A31" s="17"/>
      <c r="B31" s="43">
        <v>20</v>
      </c>
      <c r="C31" s="146">
        <v>20</v>
      </c>
      <c r="D31" s="194" t="s">
        <v>71</v>
      </c>
      <c r="E31" s="65" t="s">
        <v>98</v>
      </c>
      <c r="F31" s="43" t="str">
        <f>_xlfn.XLOOKUP(Tabla1[[#This Row],[Estado]],Control!$C$32:$C$34,Control!$B$32:$B$34,"")</f>
        <v/>
      </c>
      <c r="G31" s="110"/>
      <c r="H31" s="155"/>
      <c r="I31" s="43" t="s">
        <v>6</v>
      </c>
      <c r="J31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1" s="43" t="s">
        <v>58</v>
      </c>
      <c r="L31" s="43">
        <v>3</v>
      </c>
      <c r="M31" s="146"/>
      <c r="N31" s="7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1" s="7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16</v>
      </c>
      <c r="P31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1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1" s="7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1" s="7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T31" s="7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U31" s="77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5</v>
      </c>
      <c r="V31" s="7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1" s="7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1" s="23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1" s="10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31" s="103" t="b">
        <f>ISNUMBER(SEARCH($H$4,Tabla1[[#This Row],[Materia]],1))</f>
        <v>1</v>
      </c>
      <c r="AA31" s="71" t="b">
        <f>IFERROR(IF(
    (COUNTIF(Tabla1[[#This Row],[R1]:[A7]], _xlfn.XLOOKUP($H$4,Tabla1[Materia],Tabla1[Numero],""))) &gt; 0,
    TRUE,
    FALSE
),FALSE)</f>
        <v>0</v>
      </c>
      <c r="AB31" s="105">
        <v>20</v>
      </c>
      <c r="AC31" s="19"/>
      <c r="AD31" s="19"/>
      <c r="AF31" s="19"/>
      <c r="AG31" s="19"/>
      <c r="AH31" s="19"/>
      <c r="AI31" s="19"/>
      <c r="AJ31" s="19"/>
      <c r="AK31" s="23"/>
    </row>
    <row r="32" spans="1:37" ht="17.25" customHeight="1" thickBot="1" x14ac:dyDescent="0.3">
      <c r="A32" s="17"/>
      <c r="B32" s="43">
        <v>21</v>
      </c>
      <c r="C32" s="146">
        <v>21</v>
      </c>
      <c r="D32" s="194" t="s">
        <v>71</v>
      </c>
      <c r="E32" s="65" t="s">
        <v>131</v>
      </c>
      <c r="F32" s="43" t="str">
        <f>_xlfn.XLOOKUP(Tabla1[[#This Row],[Estado]],Control!$C$32:$C$34,Control!$B$32:$B$34,"")</f>
        <v/>
      </c>
      <c r="G32" s="110"/>
      <c r="H32" s="155"/>
      <c r="I32" s="43" t="s">
        <v>6</v>
      </c>
      <c r="J32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2" s="43" t="s">
        <v>58</v>
      </c>
      <c r="L32" s="43">
        <v>2</v>
      </c>
      <c r="M32" s="146"/>
      <c r="N32" s="7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2" s="7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16</v>
      </c>
      <c r="P32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2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2" s="7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2" s="7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T32" s="7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U32" s="77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5</v>
      </c>
      <c r="V32" s="7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2" s="7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2" s="23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2" s="10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32" s="170" t="b">
        <f>ISNUMBER(SEARCH($H$4,Tabla1[[#This Row],[Materia]],1))</f>
        <v>1</v>
      </c>
      <c r="AA32" s="177" t="b">
        <f>IFERROR(IF(
    (COUNTIF(Tabla1[[#This Row],[R1]:[A7]], _xlfn.XLOOKUP($H$4,Tabla1[Materia],Tabla1[Numero],""))) &gt; 0,
    TRUE,
    FALSE
),FALSE)</f>
        <v>0</v>
      </c>
      <c r="AB32" s="105">
        <v>21</v>
      </c>
      <c r="AC32" s="19"/>
      <c r="AD32" s="19"/>
      <c r="AE32" s="19"/>
      <c r="AF32" s="19"/>
      <c r="AG32" s="19"/>
      <c r="AH32" s="19"/>
      <c r="AI32" s="19"/>
      <c r="AJ32" s="19"/>
      <c r="AK32" s="23"/>
    </row>
    <row r="33" spans="1:37" ht="17.25" customHeight="1" x14ac:dyDescent="0.25">
      <c r="A33" s="17"/>
      <c r="B33" s="43">
        <v>22</v>
      </c>
      <c r="C33" s="146">
        <v>22</v>
      </c>
      <c r="D33" s="194" t="s">
        <v>71</v>
      </c>
      <c r="E33" s="65" t="s">
        <v>132</v>
      </c>
      <c r="F33" s="43" t="str">
        <f>_xlfn.XLOOKUP(Tabla1[[#This Row],[Estado]],Control!$C$32:$C$34,Control!$B$32:$B$34,"")</f>
        <v/>
      </c>
      <c r="G33" s="110"/>
      <c r="H33" s="155"/>
      <c r="I33" s="43" t="s">
        <v>6</v>
      </c>
      <c r="J33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3" s="43" t="s">
        <v>58</v>
      </c>
      <c r="L33" s="43">
        <v>6</v>
      </c>
      <c r="M33" s="146"/>
      <c r="N33" s="7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3" s="7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P33" s="77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16</v>
      </c>
      <c r="Q33" s="77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17</v>
      </c>
      <c r="R33" s="7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3" s="7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T33" s="7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5</v>
      </c>
      <c r="U33" s="7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33" s="7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3" s="7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3" s="23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3" s="10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33" s="103" t="b">
        <f>ISNUMBER(SEARCH($H$4,Tabla1[[#This Row],[Materia]],1))</f>
        <v>1</v>
      </c>
      <c r="AA33" s="101" t="b">
        <f>IFERROR(IF(
    (COUNTIF(Tabla1[[#This Row],[R1]:[A7]], _xlfn.XLOOKUP($H$4,Tabla1[Materia],Tabla1[Numero],""))) &gt; 0,
    TRUE,
    FALSE
),FALSE)</f>
        <v>0</v>
      </c>
      <c r="AB33" s="105">
        <v>22</v>
      </c>
      <c r="AC33" s="19"/>
      <c r="AD33" s="19"/>
      <c r="AE33" s="19"/>
      <c r="AF33" s="19"/>
      <c r="AG33" s="19"/>
      <c r="AH33" s="19"/>
      <c r="AI33" s="19"/>
      <c r="AJ33" s="19"/>
      <c r="AK33" s="23"/>
    </row>
    <row r="34" spans="1:37" ht="17.25" customHeight="1" x14ac:dyDescent="0.25">
      <c r="A34" s="17"/>
      <c r="B34" s="43">
        <v>23</v>
      </c>
      <c r="C34" s="146">
        <v>23</v>
      </c>
      <c r="D34" s="194" t="s">
        <v>71</v>
      </c>
      <c r="E34" s="65" t="s">
        <v>133</v>
      </c>
      <c r="F34" s="43" t="str">
        <f>_xlfn.XLOOKUP(Tabla1[[#This Row],[Estado]],Control!$C$32:$C$34,Control!$B$32:$B$34,"")</f>
        <v/>
      </c>
      <c r="G34" s="110"/>
      <c r="H34" s="155"/>
      <c r="I34" s="43" t="s">
        <v>6</v>
      </c>
      <c r="J34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4" s="43" t="s">
        <v>58</v>
      </c>
      <c r="L34" s="43">
        <v>4</v>
      </c>
      <c r="M34" s="146"/>
      <c r="N34" s="7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4" s="7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P34" s="77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16</v>
      </c>
      <c r="Q34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4" s="7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4" s="7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T34" s="7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U34" s="77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5</v>
      </c>
      <c r="V34" s="7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4" s="7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4" s="23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4" s="10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34" s="103" t="b">
        <f>ISNUMBER(SEARCH($H$4,Tabla1[[#This Row],[Materia]],1))</f>
        <v>1</v>
      </c>
      <c r="AA34" s="71" t="b">
        <f>IFERROR(IF(
    (COUNTIF(Tabla1[[#This Row],[R1]:[A7]], _xlfn.XLOOKUP($H$4,Tabla1[Materia],Tabla1[Numero],""))) &gt; 0,
    TRUE,
    FALSE
),FALSE)</f>
        <v>0</v>
      </c>
      <c r="AB34" s="105">
        <v>23</v>
      </c>
      <c r="AC34" s="19"/>
      <c r="AD34" s="19"/>
      <c r="AE34" s="19"/>
      <c r="AF34" s="19"/>
      <c r="AG34" s="19"/>
      <c r="AH34" s="19"/>
      <c r="AI34" s="19"/>
      <c r="AJ34" s="19"/>
      <c r="AK34" s="23"/>
    </row>
    <row r="35" spans="1:37" ht="17.25" customHeight="1" x14ac:dyDescent="0.25">
      <c r="A35" s="17"/>
      <c r="B35" s="43">
        <v>24</v>
      </c>
      <c r="C35" s="146">
        <v>24</v>
      </c>
      <c r="D35" s="194" t="s">
        <v>71</v>
      </c>
      <c r="E35" s="65" t="s">
        <v>99</v>
      </c>
      <c r="F35" s="43" t="str">
        <f>_xlfn.XLOOKUP(Tabla1[[#This Row],[Estado]],Control!$C$32:$C$34,Control!$B$32:$B$34,"")</f>
        <v/>
      </c>
      <c r="G35" s="110"/>
      <c r="H35" s="155"/>
      <c r="I35" s="43" t="s">
        <v>6</v>
      </c>
      <c r="J35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5" s="43" t="s">
        <v>58</v>
      </c>
      <c r="L35" s="43">
        <v>3</v>
      </c>
      <c r="M35" s="146"/>
      <c r="N35" s="7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5" s="7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16</v>
      </c>
      <c r="P35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5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5" s="7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5" s="7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T35" s="7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U35" s="77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5</v>
      </c>
      <c r="V35" s="7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5" s="7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5" s="23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5" s="10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35" s="104" t="b">
        <f>ISNUMBER(SEARCH($H$4,Tabla1[[#This Row],[Materia]],1))</f>
        <v>1</v>
      </c>
      <c r="AA35" s="102" t="b">
        <f>IFERROR(IF(
    (COUNTIF(Tabla1[[#This Row],[R1]:[A7]], _xlfn.XLOOKUP($H$4,Tabla1[Materia],Tabla1[Numero],""))) &gt; 0,
    TRUE,
    FALSE
),FALSE)</f>
        <v>0</v>
      </c>
      <c r="AB35" s="105">
        <v>24</v>
      </c>
      <c r="AC35" s="19"/>
      <c r="AD35" s="19"/>
      <c r="AE35" s="19"/>
      <c r="AF35" s="19"/>
      <c r="AG35" s="19"/>
      <c r="AH35" s="19"/>
      <c r="AI35" s="19"/>
      <c r="AJ35" s="19"/>
      <c r="AK35" s="23"/>
    </row>
    <row r="36" spans="1:37" ht="17.25" customHeight="1" thickBot="1" x14ac:dyDescent="0.3">
      <c r="A36" s="17"/>
      <c r="B36" s="43">
        <v>25</v>
      </c>
      <c r="C36" s="146">
        <v>25</v>
      </c>
      <c r="D36" s="194" t="s">
        <v>71</v>
      </c>
      <c r="E36" s="65" t="s">
        <v>100</v>
      </c>
      <c r="F36" s="43" t="str">
        <f>_xlfn.XLOOKUP(Tabla1[[#This Row],[Estado]],Control!$C$32:$C$34,Control!$B$32:$B$34,"")</f>
        <v/>
      </c>
      <c r="G36" s="110"/>
      <c r="H36" s="155"/>
      <c r="I36" s="43" t="s">
        <v>6</v>
      </c>
      <c r="J36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6" s="43" t="s">
        <v>58</v>
      </c>
      <c r="L36" s="43">
        <v>3</v>
      </c>
      <c r="M36" s="146"/>
      <c r="N36" s="7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16</v>
      </c>
      <c r="O36" s="7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17</v>
      </c>
      <c r="P36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6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6" s="7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6" s="7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T36" s="7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U36" s="7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36" s="7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6" s="7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6" s="23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6" s="10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36" s="170" t="b">
        <f>ISNUMBER(SEARCH($H$4,Tabla1[[#This Row],[Materia]],1))</f>
        <v>1</v>
      </c>
      <c r="AA36" s="171" t="b">
        <f>IFERROR(IF(
    (COUNTIF(Tabla1[[#This Row],[R1]:[A7]], _xlfn.XLOOKUP($H$4,Tabla1[Materia],Tabla1[Numero],""))) &gt; 0,
    TRUE,
    FALSE
),FALSE)</f>
        <v>0</v>
      </c>
      <c r="AB36" s="105">
        <v>25</v>
      </c>
      <c r="AC36" s="19"/>
      <c r="AD36" s="19"/>
      <c r="AE36" s="19"/>
      <c r="AF36" s="19"/>
      <c r="AG36" s="19"/>
      <c r="AH36" s="19"/>
      <c r="AI36" s="19"/>
      <c r="AJ36" s="19"/>
      <c r="AK36" s="23"/>
    </row>
    <row r="37" spans="1:37" ht="17.25" customHeight="1" thickBot="1" x14ac:dyDescent="0.3">
      <c r="A37" s="17"/>
      <c r="B37" s="161">
        <v>26</v>
      </c>
      <c r="C37" s="162">
        <v>26</v>
      </c>
      <c r="D37" s="195" t="s">
        <v>71</v>
      </c>
      <c r="E37" s="163" t="s">
        <v>111</v>
      </c>
      <c r="F37" s="161" t="str">
        <f>_xlfn.XLOOKUP(Tabla1[[#This Row],[Estado]],Control!$C$32:$C$34,Control!$B$32:$B$34,"")</f>
        <v/>
      </c>
      <c r="G37" s="164"/>
      <c r="H37" s="165"/>
      <c r="I37" s="161" t="s">
        <v>6</v>
      </c>
      <c r="J37" s="16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7" s="161" t="s">
        <v>58</v>
      </c>
      <c r="L37" s="161"/>
      <c r="M37" s="162"/>
      <c r="N37" s="16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7" s="16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P37" s="167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16</v>
      </c>
      <c r="Q37" s="167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17</v>
      </c>
      <c r="R37" s="16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7" s="16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T37" s="16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5</v>
      </c>
      <c r="U37" s="16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37" s="16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7" s="16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7" s="23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7" s="16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37" s="170" t="b">
        <f>ISNUMBER(SEARCH($H$4,Tabla1[[#This Row],[Materia]],1))</f>
        <v>1</v>
      </c>
      <c r="AA37" s="171" t="b">
        <f>IFERROR(IF(
    (COUNTIF(Tabla1[[#This Row],[R1]:[A7]], _xlfn.XLOOKUP($H$4,Tabla1[Materia],Tabla1[Numero],""))) &gt; 0,
    TRUE,
    FALSE
),FALSE)</f>
        <v>0</v>
      </c>
      <c r="AB37" s="221">
        <v>26</v>
      </c>
      <c r="AC37" s="19"/>
      <c r="AD37" s="19"/>
      <c r="AE37" s="19"/>
      <c r="AF37" s="19"/>
      <c r="AG37" s="19"/>
      <c r="AH37" s="19"/>
      <c r="AI37" s="19"/>
      <c r="AJ37" s="19"/>
      <c r="AK37" s="23"/>
    </row>
    <row r="38" spans="1:37" ht="17.25" customHeight="1" x14ac:dyDescent="0.25">
      <c r="A38" s="17"/>
      <c r="B38" s="42">
        <v>27</v>
      </c>
      <c r="C38" s="147">
        <v>27</v>
      </c>
      <c r="D38" s="196" t="s">
        <v>72</v>
      </c>
      <c r="E38" s="66" t="s">
        <v>134</v>
      </c>
      <c r="F38" s="42" t="str">
        <f>_xlfn.XLOOKUP(Tabla1[[#This Row],[Estado]],Control!$C$32:$C$34,Control!$B$32:$B$34,"")</f>
        <v/>
      </c>
      <c r="G38" s="111"/>
      <c r="H38" s="156"/>
      <c r="I38" s="42" t="s">
        <v>6</v>
      </c>
      <c r="J38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8" s="42" t="s">
        <v>58</v>
      </c>
      <c r="L38" s="42">
        <v>2</v>
      </c>
      <c r="M38" s="147"/>
      <c r="N38" s="7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38" s="8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8" s="8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8" s="8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8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8" s="7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15</v>
      </c>
      <c r="T38" s="8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38" s="8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38" s="8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8" s="8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8" s="8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8" s="8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38" s="103" t="b">
        <f>ISNUMBER(SEARCH($H$4,Tabla1[[#This Row],[Materia]],1))</f>
        <v>1</v>
      </c>
      <c r="AA38" s="101" t="b">
        <f>IFERROR(IF(
    (COUNTIF(Tabla1[[#This Row],[R1]:[A7]], _xlfn.XLOOKUP($H$4,Tabla1[Materia],Tabla1[Numero],""))) &gt; 0,
    TRUE,
    FALSE
),FALSE)</f>
        <v>0</v>
      </c>
      <c r="AB38" s="105">
        <v>27</v>
      </c>
      <c r="AC38" s="19"/>
      <c r="AD38" s="19"/>
      <c r="AE38" s="19"/>
      <c r="AF38" s="19"/>
      <c r="AG38" s="19"/>
      <c r="AH38" s="19"/>
      <c r="AI38" s="19"/>
      <c r="AJ38" s="19"/>
      <c r="AK38" s="23"/>
    </row>
    <row r="39" spans="1:37" ht="17.25" customHeight="1" thickBot="1" x14ac:dyDescent="0.3">
      <c r="A39" s="17"/>
      <c r="B39" s="42">
        <v>28</v>
      </c>
      <c r="C39" s="147">
        <v>28</v>
      </c>
      <c r="D39" s="196" t="s">
        <v>72</v>
      </c>
      <c r="E39" s="66" t="s">
        <v>23</v>
      </c>
      <c r="F39" s="42" t="str">
        <f>_xlfn.XLOOKUP(Tabla1[[#This Row],[Estado]],Control!$C$32:$C$34,Control!$B$32:$B$34,"")</f>
        <v/>
      </c>
      <c r="G39" s="111"/>
      <c r="H39" s="156"/>
      <c r="I39" s="42" t="s">
        <v>6</v>
      </c>
      <c r="J39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9" s="42" t="s">
        <v>58</v>
      </c>
      <c r="L39" s="42">
        <v>3</v>
      </c>
      <c r="M39" s="147"/>
      <c r="N39" s="7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39" s="8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9" s="8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9" s="8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9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9" s="7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3</v>
      </c>
      <c r="T39" s="8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39" s="8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39" s="8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9" s="8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9" s="8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9" s="8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39" s="170" t="b">
        <f>ISNUMBER(SEARCH($H$4,Tabla1[[#This Row],[Materia]],1))</f>
        <v>1</v>
      </c>
      <c r="AA39" s="177" t="b">
        <f>IFERROR(IF(
    (COUNTIF(Tabla1[[#This Row],[R1]:[A7]], _xlfn.XLOOKUP($H$4,Tabla1[Materia],Tabla1[Numero],""))) &gt; 0,
    TRUE,
    FALSE
),FALSE)</f>
        <v>0</v>
      </c>
      <c r="AB39" s="105">
        <v>28</v>
      </c>
      <c r="AC39" s="19"/>
      <c r="AD39" s="19"/>
      <c r="AE39" s="19"/>
      <c r="AF39" s="19"/>
      <c r="AG39" s="19"/>
      <c r="AH39" s="19"/>
      <c r="AI39" s="19"/>
      <c r="AJ39" s="19"/>
      <c r="AK39" s="23"/>
    </row>
    <row r="40" spans="1:37" ht="17.25" customHeight="1" x14ac:dyDescent="0.25">
      <c r="A40" s="17"/>
      <c r="B40" s="42">
        <v>29</v>
      </c>
      <c r="C40" s="147">
        <v>29</v>
      </c>
      <c r="D40" s="196" t="s">
        <v>72</v>
      </c>
      <c r="E40" s="66" t="s">
        <v>135</v>
      </c>
      <c r="F40" s="42" t="str">
        <f>_xlfn.XLOOKUP(Tabla1[[#This Row],[Estado]],Control!$C$32:$C$34,Control!$B$32:$B$34,"")</f>
        <v/>
      </c>
      <c r="G40" s="111"/>
      <c r="H40" s="156"/>
      <c r="I40" s="42" t="s">
        <v>6</v>
      </c>
      <c r="J40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0" s="42" t="s">
        <v>58</v>
      </c>
      <c r="L40" s="42">
        <v>4</v>
      </c>
      <c r="M40" s="147"/>
      <c r="N40" s="7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11</v>
      </c>
      <c r="O40" s="8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0" s="8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0" s="8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0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0" s="7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T40" s="8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5</v>
      </c>
      <c r="U40" s="8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40" s="8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0" s="8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0" s="8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0" s="8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40" s="103" t="b">
        <f>ISNUMBER(SEARCH($H$4,Tabla1[[#This Row],[Materia]],1))</f>
        <v>1</v>
      </c>
      <c r="AA40" s="101" t="b">
        <f>IFERROR(IF(
    (COUNTIF(Tabla1[[#This Row],[R1]:[A7]], _xlfn.XLOOKUP($H$4,Tabla1[Materia],Tabla1[Numero],""))) &gt; 0,
    TRUE,
    FALSE
),FALSE)</f>
        <v>0</v>
      </c>
      <c r="AB40" s="105">
        <v>29</v>
      </c>
      <c r="AC40" s="19"/>
      <c r="AD40" s="19"/>
      <c r="AE40" s="19"/>
      <c r="AF40" s="19"/>
      <c r="AG40" s="19"/>
      <c r="AH40" s="19"/>
      <c r="AI40" s="19"/>
      <c r="AJ40" s="19"/>
      <c r="AK40" s="23"/>
    </row>
    <row r="41" spans="1:37" ht="17.25" customHeight="1" x14ac:dyDescent="0.25">
      <c r="A41" s="17"/>
      <c r="B41" s="42">
        <v>30</v>
      </c>
      <c r="C41" s="147">
        <v>30</v>
      </c>
      <c r="D41" s="196" t="s">
        <v>72</v>
      </c>
      <c r="E41" s="66" t="s">
        <v>137</v>
      </c>
      <c r="F41" s="42" t="str">
        <f>_xlfn.XLOOKUP(Tabla1[[#This Row],[Estado]],Control!$C$32:$C$34,Control!$B$32:$B$34,"")</f>
        <v/>
      </c>
      <c r="G41" s="111"/>
      <c r="H41" s="156"/>
      <c r="I41" s="42" t="s">
        <v>6</v>
      </c>
      <c r="J41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1" s="42" t="s">
        <v>58</v>
      </c>
      <c r="L41" s="42">
        <v>6</v>
      </c>
      <c r="M41" s="147"/>
      <c r="N41" s="7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O41" s="8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19</v>
      </c>
      <c r="P41" s="80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20</v>
      </c>
      <c r="Q41" s="80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22</v>
      </c>
      <c r="R41" s="81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23</v>
      </c>
      <c r="S41" s="7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6</v>
      </c>
      <c r="T41" s="8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9</v>
      </c>
      <c r="U41" s="8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10</v>
      </c>
      <c r="V41" s="8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11</v>
      </c>
      <c r="W41" s="80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15</v>
      </c>
      <c r="X41" s="80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16</v>
      </c>
      <c r="Y41" s="8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41" s="103" t="b">
        <f>ISNUMBER(SEARCH($H$4,Tabla1[[#This Row],[Materia]],1))</f>
        <v>1</v>
      </c>
      <c r="AA41" s="71" t="b">
        <f>IFERROR(IF(
    (COUNTIF(Tabla1[[#This Row],[R1]:[A7]], _xlfn.XLOOKUP($H$4,Tabla1[Materia],Tabla1[Numero],""))) &gt; 0,
    TRUE,
    FALSE
),FALSE)</f>
        <v>0</v>
      </c>
      <c r="AB41" s="105">
        <v>30</v>
      </c>
      <c r="AC41" s="19"/>
      <c r="AD41" s="19"/>
      <c r="AE41" s="19"/>
      <c r="AF41" s="19"/>
      <c r="AG41" s="19"/>
      <c r="AH41" s="19"/>
      <c r="AI41" s="19"/>
      <c r="AJ41" s="19"/>
      <c r="AK41" s="23"/>
    </row>
    <row r="42" spans="1:37" ht="17.25" customHeight="1" thickBot="1" x14ac:dyDescent="0.3">
      <c r="A42" s="17"/>
      <c r="B42" s="42">
        <v>31</v>
      </c>
      <c r="C42" s="147">
        <v>31</v>
      </c>
      <c r="D42" s="196" t="s">
        <v>72</v>
      </c>
      <c r="E42" s="66" t="s">
        <v>112</v>
      </c>
      <c r="F42" s="42" t="str">
        <f>_xlfn.XLOOKUP(Tabla1[[#This Row],[Estado]],Control!$C$32:$C$34,Control!$B$32:$B$34,"")</f>
        <v/>
      </c>
      <c r="G42" s="111"/>
      <c r="H42" s="156"/>
      <c r="I42" s="42" t="s">
        <v>6</v>
      </c>
      <c r="J42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2" s="42" t="s">
        <v>58</v>
      </c>
      <c r="L42" s="42">
        <v>2</v>
      </c>
      <c r="M42" s="147"/>
      <c r="N42" s="7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6</v>
      </c>
      <c r="O42" s="8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P42" s="80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18</v>
      </c>
      <c r="Q42" s="80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20</v>
      </c>
      <c r="R42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2" s="7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T42" s="8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U42" s="8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5</v>
      </c>
      <c r="V42" s="8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9</v>
      </c>
      <c r="W42" s="80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16</v>
      </c>
      <c r="X42" s="8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2" s="8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42" s="170" t="b">
        <f>ISNUMBER(SEARCH($H$4,Tabla1[[#This Row],[Materia]],1))</f>
        <v>1</v>
      </c>
      <c r="AA42" s="177" t="b">
        <f>IFERROR(IF(
    (COUNTIF(Tabla1[[#This Row],[R1]:[A7]], _xlfn.XLOOKUP($H$4,Tabla1[Materia],Tabla1[Numero],""))) &gt; 0,
    TRUE,
    FALSE
),FALSE)</f>
        <v>0</v>
      </c>
      <c r="AB42" s="221">
        <v>31</v>
      </c>
      <c r="AC42" s="19"/>
      <c r="AD42" s="19"/>
      <c r="AE42" s="19"/>
      <c r="AF42" s="19"/>
      <c r="AG42" s="19"/>
      <c r="AH42" s="19"/>
      <c r="AI42" s="19"/>
      <c r="AJ42" s="19"/>
      <c r="AK42" s="23"/>
    </row>
    <row r="43" spans="1:37" ht="17.25" customHeight="1" x14ac:dyDescent="0.25">
      <c r="A43" s="17"/>
      <c r="B43" s="42">
        <v>32</v>
      </c>
      <c r="C43" s="147">
        <v>32</v>
      </c>
      <c r="D43" s="196" t="s">
        <v>72</v>
      </c>
      <c r="E43" s="66" t="s">
        <v>113</v>
      </c>
      <c r="F43" s="42" t="str">
        <f>_xlfn.XLOOKUP(Tabla1[[#This Row],[Estado]],Control!$C$32:$C$34,Control!$B$32:$B$34,"")</f>
        <v/>
      </c>
      <c r="G43" s="111"/>
      <c r="H43" s="156"/>
      <c r="I43" s="42" t="s">
        <v>6</v>
      </c>
      <c r="J43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3" s="42" t="s">
        <v>58</v>
      </c>
      <c r="L43" s="42">
        <v>6</v>
      </c>
      <c r="M43" s="147"/>
      <c r="N43" s="7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O43" s="8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22</v>
      </c>
      <c r="P43" s="80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23</v>
      </c>
      <c r="Q43" s="8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3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3" s="7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6</v>
      </c>
      <c r="T43" s="8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9</v>
      </c>
      <c r="U43" s="8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11</v>
      </c>
      <c r="V43" s="8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14</v>
      </c>
      <c r="W43" s="80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15</v>
      </c>
      <c r="X43" s="8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3" s="8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43" s="104" t="b">
        <f>ISNUMBER(SEARCH($H$4,Tabla1[[#This Row],[Materia]],1))</f>
        <v>1</v>
      </c>
      <c r="AA43" s="224" t="b">
        <f>IFERROR(IF(
    (COUNTIF(Tabla1[[#This Row],[R1]:[A7]], _xlfn.XLOOKUP($H$4,Tabla1[Materia],Tabla1[Numero],""))) &gt; 0,
    TRUE,
    FALSE
),FALSE)</f>
        <v>0</v>
      </c>
      <c r="AB43" s="105">
        <v>32</v>
      </c>
      <c r="AC43" s="19"/>
      <c r="AD43" s="19"/>
      <c r="AE43" s="19"/>
      <c r="AF43" s="19"/>
      <c r="AG43" s="19"/>
      <c r="AH43" s="19"/>
      <c r="AI43" s="19"/>
      <c r="AJ43" s="19"/>
      <c r="AK43" s="23"/>
    </row>
    <row r="44" spans="1:37" ht="17.25" customHeight="1" x14ac:dyDescent="0.25">
      <c r="A44" s="17"/>
      <c r="B44" s="42">
        <v>33</v>
      </c>
      <c r="C44" s="147">
        <v>33</v>
      </c>
      <c r="D44" s="196" t="s">
        <v>72</v>
      </c>
      <c r="E44" s="66" t="s">
        <v>101</v>
      </c>
      <c r="F44" s="42" t="str">
        <f>_xlfn.XLOOKUP(Tabla1[[#This Row],[Estado]],Control!$C$32:$C$34,Control!$B$32:$B$34,"")</f>
        <v/>
      </c>
      <c r="G44" s="111"/>
      <c r="H44" s="156"/>
      <c r="I44" s="42" t="s">
        <v>6</v>
      </c>
      <c r="J44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4" s="42" t="s">
        <v>58</v>
      </c>
      <c r="L44" s="42">
        <v>5</v>
      </c>
      <c r="M44" s="147"/>
      <c r="N44" s="7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23</v>
      </c>
      <c r="O44" s="8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25</v>
      </c>
      <c r="P44" s="8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4" s="8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4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4" s="7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11</v>
      </c>
      <c r="T44" s="8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16</v>
      </c>
      <c r="U44" s="8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44" s="8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4" s="8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4" s="8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4" s="8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44" s="103" t="b">
        <f>ISNUMBER(SEARCH($H$4,Tabla1[[#This Row],[Materia]],1))</f>
        <v>1</v>
      </c>
      <c r="AA44" s="101" t="b">
        <f>IFERROR(IF(
    (COUNTIF(Tabla1[[#This Row],[R1]:[A7]], _xlfn.XLOOKUP($H$4,Tabla1[Materia],Tabla1[Numero],""))) &gt; 0,
    TRUE,
    FALSE
),FALSE)</f>
        <v>0</v>
      </c>
      <c r="AB44" s="105">
        <v>33</v>
      </c>
      <c r="AC44" s="19"/>
      <c r="AD44" s="19"/>
      <c r="AE44" s="19"/>
      <c r="AF44" s="19"/>
      <c r="AG44" s="19"/>
      <c r="AH44" s="19"/>
      <c r="AI44" s="19"/>
      <c r="AJ44" s="19"/>
      <c r="AK44" s="23"/>
    </row>
    <row r="45" spans="1:37" ht="17.25" customHeight="1" x14ac:dyDescent="0.25">
      <c r="A45" s="17"/>
      <c r="B45" s="42">
        <v>34</v>
      </c>
      <c r="C45" s="147">
        <v>34</v>
      </c>
      <c r="D45" s="196" t="s">
        <v>72</v>
      </c>
      <c r="E45" s="66" t="s">
        <v>114</v>
      </c>
      <c r="F45" s="42" t="str">
        <f>_xlfn.XLOOKUP(Tabla1[[#This Row],[Estado]],Control!$C$32:$C$34,Control!$B$32:$B$34,"")</f>
        <v/>
      </c>
      <c r="G45" s="111"/>
      <c r="H45" s="156"/>
      <c r="I45" s="42" t="s">
        <v>6</v>
      </c>
      <c r="J45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5" s="42" t="s">
        <v>58</v>
      </c>
      <c r="L45" s="42">
        <v>3</v>
      </c>
      <c r="M45" s="147"/>
      <c r="N45" s="7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12</v>
      </c>
      <c r="O45" s="8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13</v>
      </c>
      <c r="P45" s="80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24</v>
      </c>
      <c r="Q45" s="8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5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5" s="7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T45" s="8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16</v>
      </c>
      <c r="U45" s="8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45" s="8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5" s="8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5" s="8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5" s="8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45" s="103" t="b">
        <f>ISNUMBER(SEARCH($H$4,Tabla1[[#This Row],[Materia]],1))</f>
        <v>1</v>
      </c>
      <c r="AA45" s="71" t="b">
        <f>IFERROR(IF(
    (COUNTIF(Tabla1[[#This Row],[R1]:[A7]], _xlfn.XLOOKUP($H$4,Tabla1[Materia],Tabla1[Numero],""))) &gt; 0,
    TRUE,
    FALSE
),FALSE)</f>
        <v>0</v>
      </c>
      <c r="AB45" s="105">
        <v>34</v>
      </c>
      <c r="AC45" s="19"/>
      <c r="AD45" s="19"/>
      <c r="AE45" s="19"/>
      <c r="AF45" s="19"/>
      <c r="AG45" s="19"/>
      <c r="AH45" s="19"/>
      <c r="AI45" s="19"/>
      <c r="AJ45" s="19"/>
      <c r="AK45" s="23"/>
    </row>
    <row r="46" spans="1:37" ht="17.25" customHeight="1" thickBot="1" x14ac:dyDescent="0.3">
      <c r="A46" s="17"/>
      <c r="B46" s="178">
        <v>35</v>
      </c>
      <c r="C46" s="179">
        <v>35</v>
      </c>
      <c r="D46" s="197" t="s">
        <v>72</v>
      </c>
      <c r="E46" s="180" t="s">
        <v>24</v>
      </c>
      <c r="F46" s="178" t="str">
        <f>_xlfn.XLOOKUP(Tabla1[[#This Row],[Estado]],Control!$C$32:$C$34,Control!$B$32:$B$34,"")</f>
        <v/>
      </c>
      <c r="G46" s="181"/>
      <c r="H46" s="182"/>
      <c r="I46" s="178" t="s">
        <v>6</v>
      </c>
      <c r="J46" s="17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6" s="178" t="s">
        <v>58</v>
      </c>
      <c r="L46" s="178">
        <v>2</v>
      </c>
      <c r="M46" s="179"/>
      <c r="N46" s="183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46" s="18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6" s="18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6" s="1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6" s="18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6" s="1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3</v>
      </c>
      <c r="T46" s="18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46" s="18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46" s="1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6" s="1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6" s="1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6" s="18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46" s="170" t="b">
        <f>ISNUMBER(SEARCH($H$4,Tabla1[[#This Row],[Materia]],1))</f>
        <v>1</v>
      </c>
      <c r="AA46" s="177" t="b">
        <f>IFERROR(IF(
    (COUNTIF(Tabla1[[#This Row],[R1]:[A7]], _xlfn.XLOOKUP($H$4,Tabla1[Materia],Tabla1[Numero],""))) &gt; 0,
    TRUE,
    FALSE
),FALSE)</f>
        <v>0</v>
      </c>
      <c r="AB46" s="221">
        <v>35</v>
      </c>
      <c r="AC46" s="19"/>
      <c r="AD46" s="19"/>
      <c r="AE46" s="19"/>
      <c r="AF46" s="19"/>
      <c r="AG46" s="19"/>
      <c r="AH46" s="19"/>
      <c r="AI46" s="19"/>
      <c r="AJ46" s="19"/>
      <c r="AK46" s="23"/>
    </row>
    <row r="47" spans="1:37" ht="17.25" customHeight="1" thickBot="1" x14ac:dyDescent="0.3">
      <c r="A47" s="17"/>
      <c r="B47" s="18">
        <v>36</v>
      </c>
      <c r="C47" s="148">
        <v>36</v>
      </c>
      <c r="D47" s="198" t="s">
        <v>73</v>
      </c>
      <c r="E47" s="67" t="s">
        <v>136</v>
      </c>
      <c r="F47" s="18" t="str">
        <f>_xlfn.XLOOKUP(Tabla1[[#This Row],[Estado]],Control!$C$32:$C$34,Control!$B$32:$B$34,"")</f>
        <v/>
      </c>
      <c r="G47" s="112"/>
      <c r="H47" s="157"/>
      <c r="I47" s="18" t="s">
        <v>6</v>
      </c>
      <c r="J47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7" s="18" t="s">
        <v>58</v>
      </c>
      <c r="L47" s="18">
        <v>3</v>
      </c>
      <c r="M47" s="148"/>
      <c r="N47" s="9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23</v>
      </c>
      <c r="O47" s="9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29</v>
      </c>
      <c r="P47" s="9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7" s="9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7" s="9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7" s="9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11</v>
      </c>
      <c r="T47" s="9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26</v>
      </c>
      <c r="U47" s="9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47" s="9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7" s="9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7" s="9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7" s="9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47" s="170" t="b">
        <f>ISNUMBER(SEARCH($H$4,Tabla1[[#This Row],[Materia]],1))</f>
        <v>1</v>
      </c>
      <c r="AA47" s="171" t="b">
        <f>IFERROR(IF(
    (COUNTIF(Tabla1[[#This Row],[R1]:[A7]], _xlfn.XLOOKUP($H$4,Tabla1[Materia],Tabla1[Numero],""))) &gt; 0,
    TRUE,
    FALSE
),FALSE)</f>
        <v>0</v>
      </c>
      <c r="AB47" s="221">
        <v>36</v>
      </c>
      <c r="AC47" s="19"/>
      <c r="AD47" s="19"/>
      <c r="AE47" s="19"/>
      <c r="AF47" s="19"/>
      <c r="AG47" s="19"/>
      <c r="AH47" s="19"/>
      <c r="AI47" s="19"/>
      <c r="AJ47" s="19"/>
      <c r="AK47" s="23"/>
    </row>
    <row r="48" spans="1:37" ht="17.25" customHeight="1" x14ac:dyDescent="0.25">
      <c r="A48" s="17"/>
      <c r="B48" s="18">
        <v>37</v>
      </c>
      <c r="C48" s="148">
        <v>37</v>
      </c>
      <c r="D48" s="198" t="s">
        <v>73</v>
      </c>
      <c r="E48" s="67" t="s">
        <v>118</v>
      </c>
      <c r="F48" s="18" t="str">
        <f>_xlfn.XLOOKUP(Tabla1[[#This Row],[Estado]],Control!$C$32:$C$34,Control!$B$32:$B$34,"")</f>
        <v/>
      </c>
      <c r="G48" s="112"/>
      <c r="H48" s="157"/>
      <c r="I48" s="18" t="s">
        <v>6</v>
      </c>
      <c r="J48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8" s="18" t="s">
        <v>58</v>
      </c>
      <c r="L48" s="18">
        <v>6</v>
      </c>
      <c r="M48" s="148"/>
      <c r="N48" s="9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21</v>
      </c>
      <c r="O48" s="9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48" s="9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34</v>
      </c>
      <c r="Q48" s="9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8" s="9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8" s="9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12</v>
      </c>
      <c r="T48" s="9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13</v>
      </c>
      <c r="U48" s="9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18</v>
      </c>
      <c r="V48" s="95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22</v>
      </c>
      <c r="W48" s="95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23</v>
      </c>
      <c r="X48" s="95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24</v>
      </c>
      <c r="Y48" s="9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48" s="103" t="b">
        <f>ISNUMBER(SEARCH($H$4,Tabla1[[#This Row],[Materia]],1))</f>
        <v>1</v>
      </c>
      <c r="AA48" s="101" t="b">
        <f>IFERROR(IF(
    (COUNTIF(Tabla1[[#This Row],[R1]:[A7]], _xlfn.XLOOKUP($H$4,Tabla1[Materia],Tabla1[Numero],""))) &gt; 0,
    TRUE,
    FALSE
),FALSE)</f>
        <v>0</v>
      </c>
      <c r="AB48" s="105">
        <v>37</v>
      </c>
      <c r="AC48" s="19"/>
      <c r="AD48" s="19"/>
      <c r="AE48" s="19"/>
      <c r="AF48" s="19"/>
      <c r="AG48" s="19"/>
      <c r="AH48" s="19"/>
      <c r="AI48" s="19"/>
      <c r="AJ48" s="19"/>
      <c r="AK48" s="23"/>
    </row>
    <row r="49" spans="1:37" ht="17.25" customHeight="1" thickBot="1" x14ac:dyDescent="0.3">
      <c r="A49" s="17"/>
      <c r="B49" s="18">
        <v>38</v>
      </c>
      <c r="C49" s="148">
        <v>38</v>
      </c>
      <c r="D49" s="198" t="s">
        <v>73</v>
      </c>
      <c r="E49" s="67" t="s">
        <v>102</v>
      </c>
      <c r="F49" s="18" t="str">
        <f>_xlfn.XLOOKUP(Tabla1[[#This Row],[Estado]],Control!$C$32:$C$34,Control!$B$32:$B$34,"")</f>
        <v/>
      </c>
      <c r="G49" s="112"/>
      <c r="H49" s="157"/>
      <c r="I49" s="18" t="s">
        <v>6</v>
      </c>
      <c r="J49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9" s="18" t="s">
        <v>58</v>
      </c>
      <c r="L49" s="18">
        <v>4</v>
      </c>
      <c r="M49" s="148"/>
      <c r="N49" s="9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49" s="9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33</v>
      </c>
      <c r="P49" s="9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9" s="9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9" s="9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9" s="9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18</v>
      </c>
      <c r="T49" s="9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22</v>
      </c>
      <c r="U49" s="9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23</v>
      </c>
      <c r="V49" s="95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26</v>
      </c>
      <c r="W49" s="9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9" s="9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9" s="9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49" s="170" t="b">
        <f>ISNUMBER(SEARCH($H$4,Tabla1[[#This Row],[Materia]],1))</f>
        <v>1</v>
      </c>
      <c r="AA49" s="177" t="b">
        <f>IFERROR(IF(
    (COUNTIF(Tabla1[[#This Row],[R1]:[A7]], _xlfn.XLOOKUP($H$4,Tabla1[Materia],Tabla1[Numero],""))) &gt; 0,
    TRUE,
    FALSE
),FALSE)</f>
        <v>0</v>
      </c>
      <c r="AB49" s="105">
        <v>38</v>
      </c>
      <c r="AC49" s="19"/>
      <c r="AD49" s="19"/>
      <c r="AE49" s="19"/>
      <c r="AF49" s="19"/>
      <c r="AG49" s="19"/>
      <c r="AH49" s="19"/>
      <c r="AI49" s="19"/>
      <c r="AJ49" s="19"/>
      <c r="AK49" s="23"/>
    </row>
    <row r="50" spans="1:37" ht="17.25" customHeight="1" x14ac:dyDescent="0.25">
      <c r="A50" s="17"/>
      <c r="B50" s="18">
        <v>39</v>
      </c>
      <c r="C50" s="148">
        <v>39</v>
      </c>
      <c r="D50" s="198" t="s">
        <v>73</v>
      </c>
      <c r="E50" s="67" t="s">
        <v>115</v>
      </c>
      <c r="F50" s="18" t="str">
        <f>_xlfn.XLOOKUP(Tabla1[[#This Row],[Estado]],Control!$C$32:$C$34,Control!$B$32:$B$34,"")</f>
        <v/>
      </c>
      <c r="G50" s="112"/>
      <c r="H50" s="157"/>
      <c r="I50" s="18" t="s">
        <v>6</v>
      </c>
      <c r="J50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0" s="18" t="s">
        <v>58</v>
      </c>
      <c r="L50" s="18">
        <v>4</v>
      </c>
      <c r="M50" s="148"/>
      <c r="N50" s="9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29</v>
      </c>
      <c r="O50" s="9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50" s="9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33</v>
      </c>
      <c r="Q50" s="9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0" s="9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0" s="9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11</v>
      </c>
      <c r="T50" s="9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18</v>
      </c>
      <c r="U50" s="9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22</v>
      </c>
      <c r="V50" s="95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23</v>
      </c>
      <c r="W50" s="95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25</v>
      </c>
      <c r="X50" s="95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26</v>
      </c>
      <c r="Y50" s="9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50" s="103" t="b">
        <f>ISNUMBER(SEARCH($H$4,Tabla1[[#This Row],[Materia]],1))</f>
        <v>1</v>
      </c>
      <c r="AA50" s="101" t="b">
        <f>IFERROR(IF(
    (COUNTIF(Tabla1[[#This Row],[R1]:[A7]], _xlfn.XLOOKUP($H$4,Tabla1[Materia],Tabla1[Numero],""))) &gt; 0,
    TRUE,
    FALSE
),FALSE)</f>
        <v>0</v>
      </c>
      <c r="AB50" s="105">
        <v>39</v>
      </c>
      <c r="AC50" s="19"/>
      <c r="AD50" s="19"/>
      <c r="AE50" s="19"/>
      <c r="AF50" s="19"/>
      <c r="AG50" s="19"/>
      <c r="AH50" s="19"/>
      <c r="AI50" s="19"/>
      <c r="AJ50" s="19"/>
      <c r="AK50" s="23"/>
    </row>
    <row r="51" spans="1:37" ht="17.25" customHeight="1" x14ac:dyDescent="0.25">
      <c r="A51" s="17"/>
      <c r="B51" s="18">
        <v>40</v>
      </c>
      <c r="C51" s="148">
        <v>40</v>
      </c>
      <c r="D51" s="198" t="s">
        <v>73</v>
      </c>
      <c r="E51" s="67" t="s">
        <v>103</v>
      </c>
      <c r="F51" s="18" t="str">
        <f>_xlfn.XLOOKUP(Tabla1[[#This Row],[Estado]],Control!$C$32:$C$34,Control!$B$32:$B$34,"")</f>
        <v/>
      </c>
      <c r="G51" s="112"/>
      <c r="H51" s="157"/>
      <c r="I51" s="18" t="s">
        <v>6</v>
      </c>
      <c r="J51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1" s="18" t="s">
        <v>58</v>
      </c>
      <c r="L51" s="18">
        <v>2</v>
      </c>
      <c r="M51" s="148"/>
      <c r="N51" s="9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28</v>
      </c>
      <c r="O51" s="9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35</v>
      </c>
      <c r="P51" s="9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1" s="9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1" s="9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1" s="9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26</v>
      </c>
      <c r="T51" s="9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51" s="9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1" s="9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1" s="9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1" s="9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1" s="9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51" s="103" t="b">
        <f>ISNUMBER(SEARCH($H$4,Tabla1[[#This Row],[Materia]],1))</f>
        <v>1</v>
      </c>
      <c r="AA51" s="71" t="b">
        <f>IFERROR(IF(
    (COUNTIF(Tabla1[[#This Row],[R1]:[A7]], _xlfn.XLOOKUP($H$4,Tabla1[Materia],Tabla1[Numero],""))) &gt; 0,
    TRUE,
    FALSE
),FALSE)</f>
        <v>0</v>
      </c>
      <c r="AB51" s="105">
        <v>40</v>
      </c>
      <c r="AC51" s="19"/>
      <c r="AD51" s="19"/>
      <c r="AE51" s="19"/>
      <c r="AF51" s="19"/>
      <c r="AG51" s="19"/>
      <c r="AH51" s="19"/>
      <c r="AI51" s="19"/>
      <c r="AJ51" s="19"/>
      <c r="AK51" s="23"/>
    </row>
    <row r="52" spans="1:37" ht="17.25" customHeight="1" x14ac:dyDescent="0.25">
      <c r="A52" s="17"/>
      <c r="B52" s="18">
        <v>41</v>
      </c>
      <c r="C52" s="148">
        <v>41</v>
      </c>
      <c r="D52" s="198" t="s">
        <v>73</v>
      </c>
      <c r="E52" s="67" t="s">
        <v>2</v>
      </c>
      <c r="F52" s="18" t="str">
        <f>_xlfn.XLOOKUP(Tabla1[[#This Row],[Estado]],Control!$C$32:$C$34,Control!$B$32:$B$34,"")</f>
        <v/>
      </c>
      <c r="G52" s="112"/>
      <c r="H52" s="157"/>
      <c r="I52" s="18" t="s">
        <v>6</v>
      </c>
      <c r="J52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2" s="18" t="s">
        <v>58</v>
      </c>
      <c r="L52" s="18">
        <v>3</v>
      </c>
      <c r="M52" s="148"/>
      <c r="N52" s="9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28</v>
      </c>
      <c r="O52" s="9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52" s="9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Q52" s="95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33</v>
      </c>
      <c r="R52" s="9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2" s="9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18</v>
      </c>
      <c r="T52" s="9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19</v>
      </c>
      <c r="U52" s="9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22</v>
      </c>
      <c r="V52" s="95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23</v>
      </c>
      <c r="W52" s="95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25</v>
      </c>
      <c r="X52" s="95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26</v>
      </c>
      <c r="Y52" s="99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27</v>
      </c>
      <c r="Z52" s="103" t="b">
        <f>ISNUMBER(SEARCH($H$4,Tabla1[[#This Row],[Materia]],1))</f>
        <v>1</v>
      </c>
      <c r="AA52" s="71" t="b">
        <f>IFERROR(IF(
    (COUNTIF(Tabla1[[#This Row],[R1]:[A7]], _xlfn.XLOOKUP($H$4,Tabla1[Materia],Tabla1[Numero],""))) &gt; 0,
    TRUE,
    FALSE
),FALSE)</f>
        <v>0</v>
      </c>
      <c r="AB52" s="105">
        <v>41</v>
      </c>
      <c r="AC52" s="19"/>
      <c r="AD52" s="19"/>
      <c r="AE52" s="19"/>
      <c r="AF52" s="19"/>
      <c r="AG52" s="19"/>
      <c r="AH52" s="19"/>
      <c r="AI52" s="19"/>
      <c r="AJ52" s="19"/>
      <c r="AK52" s="23"/>
    </row>
    <row r="53" spans="1:37" ht="17.25" customHeight="1" x14ac:dyDescent="0.25">
      <c r="A53" s="17"/>
      <c r="B53" s="200">
        <v>42</v>
      </c>
      <c r="C53" s="201">
        <v>42</v>
      </c>
      <c r="D53" s="202" t="s">
        <v>73</v>
      </c>
      <c r="E53" s="203" t="s">
        <v>116</v>
      </c>
      <c r="F53" s="200" t="str">
        <f>_xlfn.XLOOKUP(Tabla1[[#This Row],[Estado]],Control!$C$32:$C$34,Control!$B$32:$B$34,"")</f>
        <v/>
      </c>
      <c r="G53" s="204"/>
      <c r="H53" s="205"/>
      <c r="I53" s="200" t="s">
        <v>6</v>
      </c>
      <c r="J53" s="200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3" s="200" t="s">
        <v>58</v>
      </c>
      <c r="L53" s="200"/>
      <c r="M53" s="201"/>
      <c r="N53" s="20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28</v>
      </c>
      <c r="O53" s="20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53" s="207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Q53" s="207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33</v>
      </c>
      <c r="R53" s="20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3" s="20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18</v>
      </c>
      <c r="T53" s="20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19</v>
      </c>
      <c r="U53" s="207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22</v>
      </c>
      <c r="V53" s="207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23</v>
      </c>
      <c r="W53" s="207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25</v>
      </c>
      <c r="X53" s="207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26</v>
      </c>
      <c r="Y53" s="208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27</v>
      </c>
      <c r="Z53" s="104" t="b">
        <f>ISNUMBER(SEARCH($H$4,Tabla1[[#This Row],[Materia]],1))</f>
        <v>1</v>
      </c>
      <c r="AA53" s="102" t="b">
        <f>IFERROR(IF(
    (COUNTIF(Tabla1[[#This Row],[R1]:[A7]], _xlfn.XLOOKUP($H$4,Tabla1[Materia],Tabla1[Numero],""))) &gt; 0,
    TRUE,
    FALSE
),FALSE)</f>
        <v>0</v>
      </c>
      <c r="AB53" s="220">
        <v>42</v>
      </c>
      <c r="AC53" s="19"/>
      <c r="AD53" s="19"/>
      <c r="AE53" s="19"/>
      <c r="AF53" s="19"/>
      <c r="AG53" s="19"/>
      <c r="AH53" s="19"/>
      <c r="AI53" s="19"/>
      <c r="AJ53" s="19"/>
      <c r="AK53" s="23"/>
    </row>
    <row r="54" spans="1:37" ht="17.25" customHeight="1" x14ac:dyDescent="0.25">
      <c r="A54" s="17"/>
      <c r="B54" s="41" t="s">
        <v>26</v>
      </c>
      <c r="C54" s="149" t="s">
        <v>26</v>
      </c>
      <c r="D54" s="199" t="s">
        <v>73</v>
      </c>
      <c r="E54" s="68" t="s">
        <v>119</v>
      </c>
      <c r="F54" s="41" t="str">
        <f>_xlfn.XLOOKUP(Tabla1[[#This Row],[Estado]],Control!$C$32:$C$34,Control!$B$32:$B$34,"")</f>
        <v/>
      </c>
      <c r="G54" s="113"/>
      <c r="H54" s="158"/>
      <c r="I54" s="41" t="s">
        <v>6</v>
      </c>
      <c r="J54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4" s="41" t="s">
        <v>59</v>
      </c>
      <c r="L54" s="41">
        <v>2</v>
      </c>
      <c r="M54" s="240">
        <v>2</v>
      </c>
      <c r="N54" s="12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31</v>
      </c>
      <c r="O54" s="11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4" s="11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4" s="11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4" s="13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4" s="12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T54" s="11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54" s="11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4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4" s="11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4" s="23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4" s="97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54" s="103" t="b">
        <f>ISNUMBER(SEARCH($H$4,Tabla1[[#This Row],[Materia]],1))</f>
        <v>1</v>
      </c>
      <c r="AA54" s="101" t="b">
        <f>IFERROR(IF(
    (COUNTIF(Tabla1[[#This Row],[R1]:[A7]], _xlfn.XLOOKUP($H$4,Tabla1[Materia],Tabla1[Numero],""))) &gt; 0,
    TRUE,
    FALSE
),FALSE)</f>
        <v>0</v>
      </c>
      <c r="AB54" s="105">
        <v>43</v>
      </c>
      <c r="AC54" s="19"/>
      <c r="AD54" s="19"/>
      <c r="AE54" s="19"/>
      <c r="AF54" s="19"/>
      <c r="AG54" s="19"/>
      <c r="AH54" s="19"/>
      <c r="AI54" s="19"/>
      <c r="AJ54" s="19"/>
      <c r="AK54" s="23"/>
    </row>
    <row r="55" spans="1:37" ht="17.25" customHeight="1" x14ac:dyDescent="0.25">
      <c r="A55" s="17"/>
      <c r="B55" s="41" t="s">
        <v>27</v>
      </c>
      <c r="C55" s="149" t="s">
        <v>27</v>
      </c>
      <c r="D55" s="199" t="s">
        <v>73</v>
      </c>
      <c r="E55" s="68" t="s">
        <v>104</v>
      </c>
      <c r="F55" s="41" t="str">
        <f>_xlfn.XLOOKUP(Tabla1[[#This Row],[Estado]],Control!$C$32:$C$34,Control!$B$32:$B$34,"")</f>
        <v/>
      </c>
      <c r="G55" s="113"/>
      <c r="H55" s="158"/>
      <c r="I55" s="41" t="s">
        <v>6</v>
      </c>
      <c r="J55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5" s="41" t="s">
        <v>59</v>
      </c>
      <c r="L55" s="41">
        <v>3</v>
      </c>
      <c r="M55" s="240">
        <v>3</v>
      </c>
      <c r="N55" s="12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55" s="11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34</v>
      </c>
      <c r="P55" s="11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5" s="11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5" s="13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5" s="12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18</v>
      </c>
      <c r="T55" s="11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21</v>
      </c>
      <c r="U55" s="119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22</v>
      </c>
      <c r="V55" s="119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23</v>
      </c>
      <c r="W55" s="119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24</v>
      </c>
      <c r="X55" s="23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5" s="97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55" s="103" t="b">
        <f>ISNUMBER(SEARCH($H$4,Tabla1[[#This Row],[Materia]],1))</f>
        <v>1</v>
      </c>
      <c r="AA55" s="71" t="b">
        <f>IFERROR(IF(
    (COUNTIF(Tabla1[[#This Row],[R1]:[A7]], _xlfn.XLOOKUP($H$4,Tabla1[Materia],Tabla1[Numero],""))) &gt; 0,
    TRUE,
    FALSE
),FALSE)</f>
        <v>0</v>
      </c>
      <c r="AB55" s="105">
        <v>44</v>
      </c>
      <c r="AC55" s="19"/>
      <c r="AD55" s="19"/>
      <c r="AE55" s="19"/>
      <c r="AF55" s="19"/>
      <c r="AG55" s="19"/>
      <c r="AH55" s="19"/>
      <c r="AI55" s="19"/>
      <c r="AJ55" s="19"/>
      <c r="AK55" s="23"/>
    </row>
    <row r="56" spans="1:37" ht="17.25" customHeight="1" x14ac:dyDescent="0.25">
      <c r="A56" s="17"/>
      <c r="B56" s="41" t="s">
        <v>28</v>
      </c>
      <c r="C56" s="149" t="s">
        <v>28</v>
      </c>
      <c r="D56" s="199" t="s">
        <v>73</v>
      </c>
      <c r="E56" s="68" t="s">
        <v>105</v>
      </c>
      <c r="F56" s="41" t="str">
        <f>_xlfn.XLOOKUP(Tabla1[[#This Row],[Estado]],Control!$C$32:$C$34,Control!$B$32:$B$34,"")</f>
        <v/>
      </c>
      <c r="G56" s="113"/>
      <c r="H56" s="158"/>
      <c r="I56" s="41" t="s">
        <v>6</v>
      </c>
      <c r="J56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6" s="41" t="s">
        <v>59</v>
      </c>
      <c r="L56" s="41">
        <v>2</v>
      </c>
      <c r="M56" s="240">
        <v>2</v>
      </c>
      <c r="N56" s="12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28</v>
      </c>
      <c r="O56" s="11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25</v>
      </c>
      <c r="P56" s="11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6" s="11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6" s="13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6" s="12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3</v>
      </c>
      <c r="T56" s="11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56" s="11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6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6" s="11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6" s="23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6" s="97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56" s="103" t="b">
        <f>ISNUMBER(SEARCH($H$4,Tabla1[[#This Row],[Materia]],1))</f>
        <v>1</v>
      </c>
      <c r="AA56" s="71" t="b">
        <f>IFERROR(IF(
    (COUNTIF(Tabla1[[#This Row],[R1]:[A7]], _xlfn.XLOOKUP($H$4,Tabla1[Materia],Tabla1[Numero],""))) &gt; 0,
    TRUE,
    FALSE
),FALSE)</f>
        <v>0</v>
      </c>
      <c r="AB56" s="105">
        <v>45</v>
      </c>
      <c r="AC56" s="19"/>
      <c r="AD56" s="19"/>
      <c r="AE56" s="19"/>
      <c r="AF56" s="19"/>
      <c r="AG56" s="19"/>
      <c r="AH56" s="19"/>
      <c r="AI56" s="19"/>
      <c r="AJ56" s="19"/>
      <c r="AK56" s="23"/>
    </row>
    <row r="57" spans="1:37" ht="17.25" customHeight="1" x14ac:dyDescent="0.25">
      <c r="A57" s="17"/>
      <c r="B57" s="41" t="s">
        <v>29</v>
      </c>
      <c r="C57" s="149" t="s">
        <v>29</v>
      </c>
      <c r="D57" s="199" t="s">
        <v>73</v>
      </c>
      <c r="E57" s="68" t="s">
        <v>106</v>
      </c>
      <c r="F57" s="41" t="str">
        <f>_xlfn.XLOOKUP(Tabla1[[#This Row],[Estado]],Control!$C$32:$C$34,Control!$B$32:$B$34,"")</f>
        <v/>
      </c>
      <c r="G57" s="113"/>
      <c r="H57" s="158"/>
      <c r="I57" s="41" t="s">
        <v>6</v>
      </c>
      <c r="J57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7" s="41" t="s">
        <v>59</v>
      </c>
      <c r="L57" s="41">
        <v>3</v>
      </c>
      <c r="M57" s="240">
        <v>3</v>
      </c>
      <c r="N57" s="12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12</v>
      </c>
      <c r="O57" s="11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13</v>
      </c>
      <c r="P57" s="11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7" s="11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7" s="13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7" s="12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T57" s="11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U57" s="119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5</v>
      </c>
      <c r="V57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7" s="11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7" s="23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7" s="97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57" s="103" t="b">
        <f>ISNUMBER(SEARCH($H$4,Tabla1[[#This Row],[Materia]],1))</f>
        <v>1</v>
      </c>
      <c r="AA57" s="102" t="b">
        <f>IFERROR(IF(
    (COUNTIF(Tabla1[[#This Row],[R1]:[A7]], _xlfn.XLOOKUP($H$4,Tabla1[Materia],Tabla1[Numero],""))) &gt; 0,
    TRUE,
    FALSE
),FALSE)</f>
        <v>0</v>
      </c>
      <c r="AB57" s="105">
        <v>46</v>
      </c>
      <c r="AC57" s="19"/>
      <c r="AD57" s="19"/>
      <c r="AE57" s="19"/>
      <c r="AF57" s="19"/>
      <c r="AG57" s="19"/>
      <c r="AH57" s="19"/>
      <c r="AI57" s="19"/>
      <c r="AJ57" s="19"/>
      <c r="AK57" s="23"/>
    </row>
    <row r="58" spans="1:37" ht="17.25" customHeight="1" x14ac:dyDescent="0.25">
      <c r="A58" s="17"/>
      <c r="B58" s="41" t="s">
        <v>30</v>
      </c>
      <c r="C58" s="149" t="s">
        <v>30</v>
      </c>
      <c r="D58" s="199" t="s">
        <v>73</v>
      </c>
      <c r="E58" s="68" t="s">
        <v>107</v>
      </c>
      <c r="F58" s="41" t="str">
        <f>_xlfn.XLOOKUP(Tabla1[[#This Row],[Estado]],Control!$C$32:$C$34,Control!$B$32:$B$34,"")</f>
        <v/>
      </c>
      <c r="G58" s="113"/>
      <c r="H58" s="158"/>
      <c r="I58" s="41" t="s">
        <v>6</v>
      </c>
      <c r="J58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8" s="41" t="s">
        <v>59</v>
      </c>
      <c r="L58" s="41">
        <v>3</v>
      </c>
      <c r="M58" s="240">
        <v>3</v>
      </c>
      <c r="N58" s="12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29</v>
      </c>
      <c r="O58" s="11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34</v>
      </c>
      <c r="P58" s="11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8" s="11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8" s="13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8" s="12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21</v>
      </c>
      <c r="T58" s="11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24</v>
      </c>
      <c r="U58" s="11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8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8" s="11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8" s="23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8" s="97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58" s="103" t="b">
        <f>ISNUMBER(SEARCH($H$4,Tabla1[[#This Row],[Materia]],1))</f>
        <v>1</v>
      </c>
      <c r="AA58" s="101" t="b">
        <f>IFERROR(IF(
    (COUNTIF(Tabla1[[#This Row],[R1]:[A7]], _xlfn.XLOOKUP($H$4,Tabla1[Materia],Tabla1[Numero],""))) &gt; 0,
    TRUE,
    FALSE
),FALSE)</f>
        <v>0</v>
      </c>
      <c r="AB58" s="105">
        <v>47</v>
      </c>
      <c r="AC58" s="19"/>
      <c r="AD58" s="19"/>
      <c r="AE58" s="19"/>
      <c r="AF58" s="19"/>
      <c r="AG58" s="26"/>
      <c r="AH58" s="26"/>
      <c r="AI58" s="19"/>
      <c r="AJ58" s="19"/>
      <c r="AK58" s="23"/>
    </row>
    <row r="59" spans="1:37" ht="17.25" customHeight="1" thickBot="1" x14ac:dyDescent="0.3">
      <c r="A59" s="17"/>
      <c r="B59" s="41" t="s">
        <v>31</v>
      </c>
      <c r="C59" s="149" t="s">
        <v>31</v>
      </c>
      <c r="D59" s="199" t="s">
        <v>73</v>
      </c>
      <c r="E59" s="68" t="s">
        <v>108</v>
      </c>
      <c r="F59" s="41" t="str">
        <f>_xlfn.XLOOKUP(Tabla1[[#This Row],[Estado]],Control!$C$32:$C$34,Control!$B$32:$B$34,"")</f>
        <v/>
      </c>
      <c r="G59" s="113"/>
      <c r="H59" s="158"/>
      <c r="I59" s="41" t="s">
        <v>6</v>
      </c>
      <c r="J59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9" s="41" t="s">
        <v>59</v>
      </c>
      <c r="L59" s="41">
        <v>2</v>
      </c>
      <c r="M59" s="240">
        <v>2</v>
      </c>
      <c r="N59" s="23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25</v>
      </c>
      <c r="O59" s="23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P59" s="23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Q59" s="23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9" s="97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9" s="23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8</v>
      </c>
      <c r="T59" s="23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19</v>
      </c>
      <c r="U59" s="23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9" s="23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9" s="23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9" s="23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9" s="97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Z59" s="103" t="b">
        <f>ISNUMBER(SEARCH($H$4,Tabla1[[#This Row],[Materia]],1))</f>
        <v>1</v>
      </c>
      <c r="AA59" s="71" t="b">
        <f>IFERROR(IF(
    (COUNTIF(Tabla1[[#This Row],[R1]:[A7]], _xlfn.XLOOKUP($H$4,Tabla1[Materia],Tabla1[Numero],""))) &gt; 0,
    TRUE,
    FALSE
),FALSE)</f>
        <v>0</v>
      </c>
      <c r="AB59" s="105">
        <v>48</v>
      </c>
      <c r="AC59" s="19"/>
      <c r="AD59" s="19"/>
      <c r="AE59" s="19"/>
      <c r="AF59" s="19"/>
      <c r="AG59" s="19"/>
      <c r="AH59" s="19"/>
      <c r="AI59" s="19"/>
      <c r="AJ59" s="19"/>
      <c r="AK59" s="23"/>
    </row>
    <row r="60" spans="1:37" ht="17.25" customHeight="1" x14ac:dyDescent="0.25">
      <c r="A60" s="17"/>
      <c r="B60" s="238"/>
      <c r="C60" s="238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238"/>
      <c r="P60" s="238"/>
      <c r="Q60" s="238"/>
      <c r="R60" s="238"/>
      <c r="S60" s="238"/>
      <c r="T60" s="238"/>
      <c r="U60" s="238"/>
      <c r="V60" s="238"/>
      <c r="W60" s="238"/>
      <c r="X60" s="238"/>
      <c r="Y60" s="238"/>
      <c r="Z60" s="19"/>
      <c r="AA60" s="26"/>
      <c r="AB60" s="19"/>
      <c r="AC60" s="19"/>
      <c r="AD60" s="19"/>
      <c r="AE60" s="19"/>
      <c r="AF60" s="19"/>
      <c r="AG60" s="19"/>
      <c r="AH60" s="19"/>
      <c r="AI60" s="19"/>
      <c r="AJ60" s="23"/>
    </row>
    <row r="61" spans="1:37" ht="17.25" customHeight="1" x14ac:dyDescent="0.25">
      <c r="A61" s="17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B61" s="19"/>
      <c r="AC61" s="19"/>
      <c r="AD61" s="19"/>
      <c r="AE61" s="19"/>
      <c r="AF61" s="19"/>
      <c r="AG61" s="19"/>
      <c r="AH61" s="19"/>
      <c r="AI61" s="19"/>
      <c r="AJ61" s="23"/>
    </row>
    <row r="62" spans="1:37" ht="17.25" customHeight="1" x14ac:dyDescent="0.25">
      <c r="A62" s="17"/>
      <c r="F62" s="49"/>
      <c r="G62" s="49"/>
      <c r="AB62" s="19"/>
      <c r="AC62" s="19"/>
      <c r="AD62" s="19"/>
      <c r="AE62" s="19"/>
      <c r="AF62" s="19"/>
      <c r="AG62" s="19"/>
      <c r="AH62" s="19"/>
      <c r="AI62" s="19"/>
      <c r="AJ62" s="23"/>
    </row>
    <row r="63" spans="1:37" x14ac:dyDescent="0.25">
      <c r="A63" s="17"/>
      <c r="AB63" s="26"/>
      <c r="AC63" s="26"/>
      <c r="AF63" s="23"/>
    </row>
    <row r="64" spans="1:37" x14ac:dyDescent="0.25">
      <c r="A64" s="25"/>
      <c r="AF64" s="27"/>
    </row>
    <row r="65" spans="7:7" ht="56.25" customHeight="1" x14ac:dyDescent="0.25"/>
    <row r="66" spans="7:7" x14ac:dyDescent="0.25"/>
    <row r="67" spans="7:7" x14ac:dyDescent="0.25"/>
    <row r="68" spans="7:7" x14ac:dyDescent="0.25"/>
    <row r="69" spans="7:7" x14ac:dyDescent="0.25"/>
    <row r="70" spans="7:7" x14ac:dyDescent="0.25"/>
    <row r="71" spans="7:7" x14ac:dyDescent="0.25"/>
    <row r="72" spans="7:7" x14ac:dyDescent="0.25">
      <c r="G72" s="10"/>
    </row>
    <row r="73" spans="7:7" x14ac:dyDescent="0.25"/>
    <row r="74" spans="7:7" x14ac:dyDescent="0.25"/>
    <row r="75" spans="7:7" x14ac:dyDescent="0.25">
      <c r="G75" s="10"/>
    </row>
    <row r="76" spans="7:7" x14ac:dyDescent="0.25">
      <c r="G76" s="10"/>
    </row>
    <row r="77" spans="7:7" x14ac:dyDescent="0.25"/>
    <row r="78" spans="7:7" x14ac:dyDescent="0.25"/>
    <row r="86" spans="4:4" ht="14.25" hidden="1" customHeight="1" x14ac:dyDescent="0.25"/>
    <row r="87" spans="4:4" ht="14.25" hidden="1" customHeight="1" x14ac:dyDescent="0.25"/>
    <row r="88" spans="4:4" ht="14.25" hidden="1" customHeight="1" x14ac:dyDescent="0.25"/>
    <row r="89" spans="4:4" ht="14.25" hidden="1" customHeight="1" x14ac:dyDescent="0.25"/>
    <row r="90" spans="4:4" ht="14.25" hidden="1" customHeight="1" x14ac:dyDescent="0.25">
      <c r="D90" s="19"/>
    </row>
    <row r="91" spans="4:4" ht="14.25" hidden="1" customHeight="1" x14ac:dyDescent="0.25"/>
    <row r="92" spans="4:4" ht="14.25" hidden="1" customHeight="1" x14ac:dyDescent="0.25"/>
    <row r="93" spans="4:4" ht="14.25" hidden="1" customHeight="1" x14ac:dyDescent="0.25"/>
    <row r="94" spans="4:4" ht="14.25" hidden="1" customHeight="1" x14ac:dyDescent="0.25"/>
    <row r="95" spans="4:4" ht="14.25" hidden="1" customHeight="1" x14ac:dyDescent="0.25"/>
    <row r="96" spans="4:4" ht="14.25" hidden="1" customHeight="1" x14ac:dyDescent="0.25"/>
    <row r="97" ht="14.25" hidden="1" customHeight="1" x14ac:dyDescent="0.25"/>
    <row r="98" ht="14.25" hidden="1" customHeight="1" x14ac:dyDescent="0.25"/>
    <row r="99" ht="14.25" hidden="1" customHeight="1" x14ac:dyDescent="0.25"/>
    <row r="100" ht="14.25" hidden="1" customHeight="1" x14ac:dyDescent="0.25"/>
    <row r="101" ht="14.25" hidden="1" customHeight="1" x14ac:dyDescent="0.25"/>
    <row r="102" ht="14.25" hidden="1" customHeight="1" x14ac:dyDescent="0.25"/>
    <row r="103" ht="14.25" hidden="1" customHeight="1" x14ac:dyDescent="0.25"/>
    <row r="104" ht="14.25" hidden="1" customHeight="1" x14ac:dyDescent="0.25"/>
    <row r="105" ht="14.25" hidden="1" customHeight="1" x14ac:dyDescent="0.25"/>
    <row r="106" ht="14.25" hidden="1" customHeight="1" x14ac:dyDescent="0.25"/>
    <row r="107" ht="14.25" hidden="1" customHeight="1" x14ac:dyDescent="0.25"/>
  </sheetData>
  <sheetProtection algorithmName="SHA-512" hashValue="VZPutEGCyp4zc+4Ny6tW3EAWGkxfnbd4L3cXgOe/xPPtWqyS7N3AqllGxCfnTEvqX/U/8JmxV2j1j5kcwsQoNQ==" saltValue="p/i2eZMVkeUBnoYyrLi+lw==" spinCount="100000" sheet="1" sort="0" autoFilter="0"/>
  <dataConsolidate/>
  <mergeCells count="12">
    <mergeCell ref="H4:L4"/>
    <mergeCell ref="N10:R10"/>
    <mergeCell ref="B2:X2"/>
    <mergeCell ref="N4:P4"/>
    <mergeCell ref="H9:I9"/>
    <mergeCell ref="J8:L8"/>
    <mergeCell ref="H8:I8"/>
    <mergeCell ref="J9:L9"/>
    <mergeCell ref="G7:L7"/>
    <mergeCell ref="Q4:S4"/>
    <mergeCell ref="N9:Y9"/>
    <mergeCell ref="S10:Y10"/>
  </mergeCells>
  <phoneticPr fontId="8" type="noConversion"/>
  <conditionalFormatting sqref="F12:F59">
    <cfRule type="iconSet" priority="537">
      <iconSet iconSet="3Symbols2" showValue="0">
        <cfvo type="percent" val="0"/>
        <cfvo type="num" val="1"/>
        <cfvo type="num" val="2"/>
      </iconSet>
    </cfRule>
  </conditionalFormatting>
  <conditionalFormatting sqref="N12:R59">
    <cfRule type="expression" dxfId="94" priority="540">
      <formula>OR(_xlfn.XLOOKUP(N12,$B$12:$B$59,$F$12:$F$59)="",_xlfn.XLOOKUP(N12,$B$12:$B$59,$F$12:$F$59)&lt;1)</formula>
    </cfRule>
    <cfRule type="expression" dxfId="93" priority="541">
      <formula>LOOKUP(N12,$B$12:$B$59,$F$12:$F$59)&gt;=1</formula>
    </cfRule>
  </conditionalFormatting>
  <conditionalFormatting sqref="S12:Y59">
    <cfRule type="expression" dxfId="92" priority="546">
      <formula>OR(_xlfn.XLOOKUP(S12,$B$12:$B$59,$F$12:$F$59)="",_xlfn.XLOOKUP(S12,$B$12:$B$59,$F$12:$F$59)&lt;2)</formula>
    </cfRule>
    <cfRule type="expression" dxfId="91" priority="547">
      <formula>LOOKUP(S12,$B$12:$B$59,$F$12:$F$59)=2</formula>
    </cfRule>
  </conditionalFormatting>
  <dataValidations count="11">
    <dataValidation allowBlank="1" showInputMessage="1" showErrorMessage="1" promptTitle="Identificador de paso de proceso" prompt="Escriba un id. de paso de proceso único para cada forma en el diagrama." sqref="BH8" xr:uid="{4CDC4957-6C31-4064-98D7-982762A74921}"/>
    <dataValidation allowBlank="1" showInputMessage="1" showErrorMessage="1" promptTitle="Descripción del paso de proceso" prompt="Escriba el texto para el paso del proceso que aparecerá en la forma." sqref="BI8" xr:uid="{F2C8DE6E-0581-497C-B5F5-D6B83C4704F0}"/>
    <dataValidation allowBlank="1" showInputMessage="1" showErrorMessage="1" promptTitle="Identificador de paso siguiente" prompt="Escriba el id. de paso del proceso para el siguiente paso. Use comas para separar varios pasos siguientes, como &quot;P600, P700&quot;." sqref="BJ8" xr:uid="{37A7D950-9C8E-4C54-8942-DBF6A9C16CD4}"/>
    <dataValidation allowBlank="1" showInputMessage="1" showErrorMessage="1" promptTitle="Etiqueta de conector" prompt="Si quiere, etiquete el conector al siguiente paso. Use comas para separar varios pasos siguientes, como &quot;Sí,No&quot;." sqref="BK8" xr:uid="{33612C46-F1C7-4434-8241-778AB2676A20}"/>
    <dataValidation allowBlank="1" showInputMessage="1" showErrorMessage="1" promptTitle="Tipo de forma" prompt="Escriba el tipo de forma que quiere que use cada paso del proceso." sqref="BL8" xr:uid="{5E067FFE-B484-47EF-AE9D-69C8AC3DD90A}"/>
    <dataValidation allowBlank="1" showInputMessage="1" showErrorMessage="1" promptTitle="Texto alternativo" prompt="El texto alternativo ayuda a las personas con discapacidad visual a comprender el diagrama. Describa cada paso del proceso." sqref="BM8" xr:uid="{191F22DE-065C-4868-AACA-0A22B40E6101}"/>
    <dataValidation showInputMessage="1" sqref="H4:L4" xr:uid="{0B649C6A-C95B-4C86-A93B-6D5F9D856CD0}"/>
    <dataValidation type="whole" allowBlank="1" showInputMessage="1" showErrorMessage="1" sqref="M12:M59" xr:uid="{E9B0B4FB-B73B-4CB8-BF41-0004A1370D40}">
      <formula1>1</formula1>
      <formula2>100</formula2>
    </dataValidation>
    <dataValidation type="list" allowBlank="1" showInputMessage="1" showErrorMessage="1" sqref="I12:I59" xr:uid="{F10643AC-3B76-41B4-845C-58D937C62153}">
      <formula1>Modalidades</formula1>
    </dataValidation>
    <dataValidation type="whole" allowBlank="1" showInputMessage="1" showErrorMessage="1" sqref="H12:H59" xr:uid="{827AE982-E557-487E-BEA0-3F118EE1CC68}">
      <formula1>1</formula1>
      <formula2>10</formula2>
    </dataValidation>
    <dataValidation type="list" allowBlank="1" showInputMessage="1" sqref="BL9:BL10 BM11:BM12" xr:uid="{99135C8E-24D4-4BA3-BCA3-D892194DBB02}">
      <formula1>"Proceso, Decisión, Subproceso, Iniciar, Fin, Documento, Datos, Base de datos, Datos externos, Referencia en página, Referencia a otra página, Personalizado 1, Personalizado 2, Personalizado 3, Personalizado 4"</formula1>
    </dataValidation>
  </dataValidations>
  <pageMargins left="0.7" right="0.7" top="0.75" bottom="0.75" header="0.3" footer="0.3"/>
  <pageSetup paperSize="9" scale="29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269" r:id="rId4" name="CommandButton1">
          <controlPr defaultSize="0" autoFill="0" autoLine="0" r:id="rId5">
            <anchor moveWithCells="1">
              <from>
                <xdr:col>4</xdr:col>
                <xdr:colOff>4238625</xdr:colOff>
                <xdr:row>10</xdr:row>
                <xdr:rowOff>66675</xdr:rowOff>
              </from>
              <to>
                <xdr:col>4</xdr:col>
                <xdr:colOff>4524375</xdr:colOff>
                <xdr:row>10</xdr:row>
                <xdr:rowOff>352425</xdr:rowOff>
              </to>
            </anchor>
          </controlPr>
        </control>
      </mc:Choice>
      <mc:Fallback>
        <control shapeId="3269" r:id="rId4" name="CommandButton1"/>
      </mc:Fallback>
    </mc:AlternateContent>
    <mc:AlternateContent xmlns:mc="http://schemas.openxmlformats.org/markup-compatibility/2006">
      <mc:Choice Requires="x14">
        <control shapeId="1731" r:id="rId6" name="ComboBox1">
          <controlPr defaultSize="0" autoFill="0" autoLine="0" r:id="rId7">
            <anchor>
              <from>
                <xdr:col>12</xdr:col>
                <xdr:colOff>142875</xdr:colOff>
                <xdr:row>2</xdr:row>
                <xdr:rowOff>180975</xdr:rowOff>
              </from>
              <to>
                <xdr:col>12</xdr:col>
                <xdr:colOff>276225</xdr:colOff>
                <xdr:row>4</xdr:row>
                <xdr:rowOff>0</xdr:rowOff>
              </to>
            </anchor>
          </controlPr>
        </control>
      </mc:Choice>
      <mc:Fallback>
        <control shapeId="1731" r:id="rId6" name="ComboBox1"/>
      </mc:Fallback>
    </mc:AlternateContent>
    <mc:AlternateContent xmlns:mc="http://schemas.openxmlformats.org/markup-compatibility/2006">
      <mc:Choice Requires="x14">
        <control shapeId="1876" r:id="rId8" name="TextBox1">
          <controlPr locked="0" defaultSize="0" autoLine="0" r:id="rId9">
            <anchor>
              <from>
                <xdr:col>7</xdr:col>
                <xdr:colOff>0</xdr:colOff>
                <xdr:row>2</xdr:row>
                <xdr:rowOff>180975</xdr:rowOff>
              </from>
              <to>
                <xdr:col>12</xdr:col>
                <xdr:colOff>142875</xdr:colOff>
                <xdr:row>4</xdr:row>
                <xdr:rowOff>0</xdr:rowOff>
              </to>
            </anchor>
          </controlPr>
        </control>
      </mc:Choice>
      <mc:Fallback>
        <control shapeId="1876" r:id="rId8" name="TextBox1"/>
      </mc:Fallback>
    </mc:AlternateContent>
  </controls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8" id="{00000000-000E-0000-0000-0000B9000000}">
            <xm:f>AND(Control!$N$2,OR($F12="",$F12&lt;=1))</xm:f>
            <x14:dxf>
              <font>
                <color theme="0"/>
              </font>
              <fill>
                <patternFill>
                  <bgColor rgb="FF8FA2FF"/>
                </patternFill>
              </fill>
            </x14:dxf>
          </x14:cfRule>
          <xm:sqref>B12:Y42</xm:sqref>
        </x14:conditionalFormatting>
        <x14:conditionalFormatting xmlns:xm="http://schemas.microsoft.com/office/excel/2006/main">
          <x14:cfRule type="expression" priority="402" id="{00000000-000E-0000-0000-000002000000}">
            <xm:f>AND(Control!$N$3,OR($F12="",$F12&lt;=1))</xm:f>
            <x14:dxf>
              <font>
                <color theme="0"/>
              </font>
              <fill>
                <patternFill>
                  <bgColor rgb="FFE05656"/>
                </patternFill>
              </fill>
            </x14:dxf>
          </x14:cfRule>
          <xm:sqref>B12:Y53</xm:sqref>
        </x14:conditionalFormatting>
        <x14:conditionalFormatting xmlns:xm="http://schemas.microsoft.com/office/excel/2006/main">
          <x14:cfRule type="expression" priority="548" id="{00000000-000E-0000-0000-0000BC000000}">
            <xm:f>OR( $N12=Control!$N$7, $O12=Control!$N$7, $P12=Control!$N$7, $Q12=Control!$N$7, $R12=Control!$N$7, $S12=Control!$N$7, $T12=Control!$N$7, $U12=Control!$N$7, $V12=Control!$N$7, $W12=Control!$N$7, $Y12=Control!$N$7 )</xm:f>
            <x14:dxf>
              <font>
                <color theme="0"/>
              </font>
              <fill>
                <patternFill>
                  <bgColor rgb="FFAF6CF8"/>
                </patternFill>
              </fill>
            </x14:dxf>
          </x14:cfRule>
          <x14:cfRule type="expression" priority="549" id="{00000000-000E-0000-0000-0000BD000000}">
            <xm:f>$B12=Control!$N$6</xm:f>
            <x14:dxf>
              <font>
                <color theme="0"/>
              </font>
              <fill>
                <patternFill>
                  <bgColor theme="1" tint="0.24994659260841701"/>
                </patternFill>
              </fill>
            </x14:dxf>
          </x14:cfRule>
          <x14:cfRule type="expression" priority="550" id="{00000000-000E-0000-0000-0000BE000000}">
            <xm:f>AND(Control!$N$4,$J12="SI")</xm:f>
            <x14:dxf>
              <font>
                <color theme="0"/>
              </font>
              <fill>
                <patternFill>
                  <bgColor rgb="FFED7F3B"/>
                </patternFill>
              </fill>
            </x14:dxf>
          </x14:cfRule>
          <xm:sqref>B12:Y59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2879620-7BBF-402C-9137-DEC9E925EF8B}">
          <x14:formula1>
            <xm:f>Control!$C$31:$C$34</xm:f>
          </x14:formula1>
          <xm:sqref>G12:G13 G15:G59</xm:sqref>
        </x14:dataValidation>
        <x14:dataValidation type="list" errorStyle="warning" allowBlank="1" showInputMessage="1" showErrorMessage="1" xr:uid="{3BEFB480-2732-4497-8F02-A6B25C0A7987}">
          <x14:formula1>
            <xm:f>Control!$C$31:$C$34</xm:f>
          </x14:formula1>
          <xm:sqref>G14</xm:sqref>
        </x14:dataValidation>
        <x14:dataValidation type="list" allowBlank="1" showInputMessage="1" showErrorMessage="1" xr:uid="{D0419513-DDB3-4558-874E-668A51261BE3}">
          <x14:formula1>
            <xm:f>Control!$P$3:$P$4</xm:f>
          </x14:formula1>
          <xm:sqref>J9:L9 H5 K12:K59</xm:sqref>
        </x14:dataValidation>
        <x14:dataValidation type="list" allowBlank="1" showInputMessage="1" showErrorMessage="1" xr:uid="{F6AE0DD1-DD61-44DA-9457-1A6EFA98F676}">
          <x14:formula1>
            <xm:f>Control!$G$42:$G$43</xm:f>
          </x14:formula1>
          <xm:sqref>Q4</xm:sqref>
        </x14:dataValidation>
        <x14:dataValidation type="list" allowBlank="1" showInputMessage="1" showErrorMessage="1" xr:uid="{7E83949C-A2E5-4647-BD93-0E45A69C23B2}">
          <x14:formula1>
            <xm:f>Control!$E$42:$E$46</xm:f>
          </x14:formula1>
          <xm:sqref>D12:D59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1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BC106-4D4E-4A12-818E-989BD6E97739}">
  <sheetPr codeName="Hoja2"/>
  <dimension ref="B1:BB276"/>
  <sheetViews>
    <sheetView showGridLines="0" zoomScale="85" zoomScaleNormal="85" workbookViewId="0">
      <selection activeCell="AH101" sqref="AH101"/>
    </sheetView>
  </sheetViews>
  <sheetFormatPr baseColWidth="10" defaultRowHeight="15" x14ac:dyDescent="0.25"/>
  <cols>
    <col min="1" max="1" width="1.42578125" customWidth="1"/>
    <col min="2" max="2" width="3.7109375" customWidth="1"/>
    <col min="3" max="3" width="13.7109375" customWidth="1"/>
    <col min="4" max="4" width="4.28515625" customWidth="1"/>
    <col min="5" max="5" width="7.28515625" customWidth="1"/>
    <col min="6" max="6" width="4.7109375" customWidth="1"/>
    <col min="7" max="7" width="3.7109375" customWidth="1"/>
    <col min="8" max="8" width="13.7109375" customWidth="1"/>
    <col min="9" max="9" width="4.28515625" customWidth="1"/>
    <col min="10" max="10" width="7.28515625" customWidth="1"/>
    <col min="11" max="11" width="1.7109375" customWidth="1"/>
    <col min="13" max="13" width="11.140625" bestFit="1" customWidth="1"/>
    <col min="14" max="24" width="5.140625" customWidth="1"/>
    <col min="25" max="25" width="5.140625" style="16" customWidth="1"/>
    <col min="26" max="27" width="5.5703125" customWidth="1"/>
    <col min="28" max="39" width="5.7109375" customWidth="1"/>
    <col min="40" max="41" width="6.7109375" customWidth="1"/>
    <col min="42" max="43" width="5.7109375" customWidth="1"/>
    <col min="44" max="55" width="15.140625" bestFit="1" customWidth="1"/>
  </cols>
  <sheetData>
    <row r="1" spans="2:25" ht="8.25" customHeight="1" x14ac:dyDescent="0.25"/>
    <row r="2" spans="2:25" ht="14.1" customHeight="1" x14ac:dyDescent="0.25">
      <c r="B2" s="270" t="s">
        <v>52</v>
      </c>
      <c r="C2" s="270"/>
      <c r="D2" s="270"/>
      <c r="E2" s="270"/>
      <c r="G2" s="276" t="s">
        <v>39</v>
      </c>
      <c r="H2" s="276"/>
      <c r="I2" s="276"/>
      <c r="J2" s="276"/>
      <c r="M2" s="213" t="s">
        <v>36</v>
      </c>
      <c r="N2" s="28" t="b">
        <v>0</v>
      </c>
      <c r="P2" s="40" t="s">
        <v>62</v>
      </c>
    </row>
    <row r="3" spans="2:25" ht="14.1" customHeight="1" x14ac:dyDescent="0.25">
      <c r="B3" s="270"/>
      <c r="C3" s="270"/>
      <c r="D3" s="270"/>
      <c r="E3" s="270"/>
      <c r="G3" s="276"/>
      <c r="H3" s="276"/>
      <c r="I3" s="276"/>
      <c r="J3" s="276"/>
      <c r="M3" s="213" t="s">
        <v>37</v>
      </c>
      <c r="N3" s="28" t="b">
        <v>0</v>
      </c>
      <c r="P3" s="39" t="s">
        <v>58</v>
      </c>
    </row>
    <row r="4" spans="2:25" ht="14.1" customHeight="1" x14ac:dyDescent="0.25">
      <c r="B4" s="270"/>
      <c r="C4" s="270"/>
      <c r="D4" s="270"/>
      <c r="E4" s="270"/>
      <c r="G4" s="276"/>
      <c r="H4" s="276"/>
      <c r="I4" s="276"/>
      <c r="J4" s="276"/>
      <c r="M4" s="213" t="s">
        <v>38</v>
      </c>
      <c r="N4" s="28" t="b">
        <v>0</v>
      </c>
      <c r="P4" s="39" t="s">
        <v>59</v>
      </c>
    </row>
    <row r="5" spans="2:25" ht="6" customHeight="1" thickBot="1" x14ac:dyDescent="0.3">
      <c r="M5" s="213"/>
      <c r="N5" s="29"/>
    </row>
    <row r="6" spans="2:25" ht="15.95" customHeight="1" thickBot="1" x14ac:dyDescent="0.3">
      <c r="B6" s="84"/>
      <c r="C6" s="32" t="s">
        <v>51</v>
      </c>
      <c r="D6" s="32">
        <f>COUNTA(Tabla1[Numero])</f>
        <v>48</v>
      </c>
      <c r="E6" s="33">
        <v>1</v>
      </c>
      <c r="G6" s="299" t="s">
        <v>121</v>
      </c>
      <c r="H6" s="300"/>
      <c r="I6" s="279">
        <f>SUMIFS(Tabla1[Puntos], Tabla1[Electiva],"SI", Tabla1[Icono],"=2")</f>
        <v>0</v>
      </c>
      <c r="J6" s="280"/>
      <c r="M6" s="213" t="s">
        <v>75</v>
      </c>
      <c r="N6" s="93">
        <v>0</v>
      </c>
    </row>
    <row r="7" spans="2:25" s="84" customFormat="1" ht="15" customHeight="1" thickBot="1" x14ac:dyDescent="0.3">
      <c r="B7" s="86">
        <v>0</v>
      </c>
      <c r="C7" s="87" t="s">
        <v>57</v>
      </c>
      <c r="D7" s="87">
        <f>D6-(D8+D9)</f>
        <v>48</v>
      </c>
      <c r="E7" s="88">
        <f>D7/$D$6</f>
        <v>1</v>
      </c>
      <c r="G7" s="295"/>
      <c r="H7" s="296"/>
      <c r="I7" s="293"/>
      <c r="J7" s="294"/>
      <c r="M7" s="213" t="s">
        <v>74</v>
      </c>
      <c r="N7" s="29">
        <v>0</v>
      </c>
      <c r="Y7" s="91"/>
    </row>
    <row r="8" spans="2:25" s="84" customFormat="1" ht="15" customHeight="1" thickBot="1" x14ac:dyDescent="0.3">
      <c r="B8" s="86">
        <v>1</v>
      </c>
      <c r="C8" s="87" t="s">
        <v>14</v>
      </c>
      <c r="D8" s="87">
        <f>COUNTIF(Tabla1[Icono],1)</f>
        <v>0</v>
      </c>
      <c r="E8" s="88">
        <f>D8/$D$6</f>
        <v>0</v>
      </c>
      <c r="G8" s="295"/>
      <c r="H8" s="296"/>
      <c r="I8" s="293"/>
      <c r="J8" s="294"/>
      <c r="M8" s="214" t="s">
        <v>56</v>
      </c>
      <c r="N8" s="29" t="b">
        <f>FALSE</f>
        <v>0</v>
      </c>
      <c r="Y8" s="91"/>
    </row>
    <row r="9" spans="2:25" s="84" customFormat="1" ht="15" customHeight="1" thickBot="1" x14ac:dyDescent="0.3">
      <c r="B9" s="86">
        <v>2</v>
      </c>
      <c r="C9" s="87" t="s">
        <v>13</v>
      </c>
      <c r="D9" s="87">
        <f>COUNTIF(Tabla1[Icono],2)</f>
        <v>0</v>
      </c>
      <c r="E9" s="88">
        <f>D9/$D$6</f>
        <v>0</v>
      </c>
      <c r="G9" s="297"/>
      <c r="H9" s="298"/>
      <c r="I9" s="277"/>
      <c r="J9" s="278"/>
      <c r="Y9" s="91"/>
    </row>
    <row r="10" spans="2:25" ht="6.95" customHeight="1" x14ac:dyDescent="0.25"/>
    <row r="11" spans="2:25" ht="14.1" customHeight="1" x14ac:dyDescent="0.25">
      <c r="B11" s="303"/>
      <c r="C11" s="303"/>
      <c r="D11" s="303"/>
      <c r="E11" s="303"/>
      <c r="G11" s="274" t="s">
        <v>49</v>
      </c>
      <c r="H11" s="274"/>
      <c r="I11" s="274"/>
      <c r="J11" s="274"/>
    </row>
    <row r="12" spans="2:25" ht="14.1" customHeight="1" x14ac:dyDescent="0.25">
      <c r="B12" s="303"/>
      <c r="C12" s="303"/>
      <c r="D12" s="303"/>
      <c r="E12" s="303"/>
      <c r="G12" s="274"/>
      <c r="H12" s="274"/>
      <c r="I12" s="274"/>
      <c r="J12" s="274"/>
    </row>
    <row r="13" spans="2:25" ht="14.1" customHeight="1" x14ac:dyDescent="0.25">
      <c r="B13" s="303"/>
      <c r="C13" s="303"/>
      <c r="D13" s="303"/>
      <c r="E13" s="303"/>
      <c r="G13" s="274"/>
      <c r="H13" s="274"/>
      <c r="I13" s="274"/>
      <c r="J13" s="274"/>
    </row>
    <row r="14" spans="2:25" ht="6.95" customHeight="1" x14ac:dyDescent="0.25">
      <c r="B14" s="8"/>
      <c r="C14" s="8"/>
      <c r="D14" s="8"/>
      <c r="E14" s="8"/>
    </row>
    <row r="15" spans="2:25" ht="12" customHeight="1" x14ac:dyDescent="0.25">
      <c r="D15" s="272"/>
      <c r="E15" s="272"/>
      <c r="I15" s="271">
        <f>COUNTIFS(Tabla1[Electiva],"NO",Tabla1[Icono],"&lt;&gt;2")</f>
        <v>42</v>
      </c>
      <c r="J15" s="271"/>
    </row>
    <row r="16" spans="2:25" ht="12" customHeight="1" x14ac:dyDescent="0.25">
      <c r="D16" s="272"/>
      <c r="E16" s="272"/>
      <c r="I16" s="271"/>
      <c r="J16" s="271"/>
      <c r="M16" s="60"/>
    </row>
    <row r="17" spans="2:25" ht="6.95" customHeight="1" x14ac:dyDescent="0.25">
      <c r="M17" s="60"/>
    </row>
    <row r="18" spans="2:25" s="31" customFormat="1" ht="15.95" customHeight="1" x14ac:dyDescent="0.25">
      <c r="C18" s="32"/>
      <c r="D18" s="32"/>
      <c r="E18" s="33"/>
      <c r="H18" s="32" t="s">
        <v>51</v>
      </c>
      <c r="I18" s="34">
        <f>COUNTIF(Tabla1[Electiva],"NO")</f>
        <v>42</v>
      </c>
      <c r="J18" s="33">
        <v>1</v>
      </c>
      <c r="M18" s="60"/>
    </row>
    <row r="19" spans="2:25" s="84" customFormat="1" ht="15" customHeight="1" x14ac:dyDescent="0.25">
      <c r="B19" s="86"/>
      <c r="C19" s="87"/>
      <c r="D19" s="87"/>
      <c r="E19" s="88"/>
      <c r="G19" s="82">
        <v>0</v>
      </c>
      <c r="H19" s="87" t="s">
        <v>57</v>
      </c>
      <c r="I19" s="30">
        <f>I18-(I20+I21)</f>
        <v>42</v>
      </c>
      <c r="J19" s="88">
        <f>I19/$I$18</f>
        <v>1</v>
      </c>
      <c r="M19" s="106"/>
      <c r="Y19" s="91"/>
    </row>
    <row r="20" spans="2:25" s="84" customFormat="1" ht="15" customHeight="1" x14ac:dyDescent="0.25">
      <c r="B20" s="86"/>
      <c r="C20" s="87"/>
      <c r="D20" s="87"/>
      <c r="E20" s="88"/>
      <c r="G20" s="82">
        <v>1</v>
      </c>
      <c r="H20" s="87" t="s">
        <v>14</v>
      </c>
      <c r="I20" s="30">
        <f>COUNTIFS(Tabla1[Electiva],"NO",Tabla1[Icono],1)</f>
        <v>0</v>
      </c>
      <c r="J20" s="88">
        <f>I20/$I$18</f>
        <v>0</v>
      </c>
      <c r="M20" s="106"/>
      <c r="Y20" s="91"/>
    </row>
    <row r="21" spans="2:25" s="84" customFormat="1" ht="15" customHeight="1" x14ac:dyDescent="0.25">
      <c r="B21" s="86"/>
      <c r="C21" s="87"/>
      <c r="D21" s="87"/>
      <c r="E21" s="88"/>
      <c r="G21" s="82">
        <v>2</v>
      </c>
      <c r="H21" s="87" t="s">
        <v>13</v>
      </c>
      <c r="I21" s="30">
        <f>COUNTIFS(Tabla1[Electiva],"NO",Tabla1[Icono],2)</f>
        <v>0</v>
      </c>
      <c r="J21" s="88">
        <f>I21/$I$18</f>
        <v>0</v>
      </c>
      <c r="M21" s="106"/>
      <c r="Y21" s="91"/>
    </row>
    <row r="22" spans="2:25" ht="6.95" customHeight="1" thickBot="1" x14ac:dyDescent="0.3">
      <c r="M22" s="60"/>
    </row>
    <row r="23" spans="2:25" ht="14.1" customHeight="1" x14ac:dyDescent="0.25">
      <c r="B23" s="275" t="s">
        <v>50</v>
      </c>
      <c r="C23" s="275"/>
      <c r="D23" s="275"/>
      <c r="E23" s="275"/>
      <c r="G23" s="281" t="s">
        <v>33</v>
      </c>
      <c r="H23" s="282"/>
      <c r="I23" s="287">
        <f>IF(ISNUMBER(AVERAGE(Tabla1[Nota])), AVERAGE(Tabla1[Nota]), 0)</f>
        <v>0</v>
      </c>
      <c r="J23" s="288"/>
      <c r="M23" s="60"/>
    </row>
    <row r="24" spans="2:25" ht="14.1" customHeight="1" x14ac:dyDescent="0.25">
      <c r="B24" s="275"/>
      <c r="C24" s="275"/>
      <c r="D24" s="275"/>
      <c r="E24" s="275"/>
      <c r="G24" s="283"/>
      <c r="H24" s="284"/>
      <c r="I24" s="289"/>
      <c r="J24" s="290"/>
      <c r="M24" s="60"/>
    </row>
    <row r="25" spans="2:25" ht="14.1" customHeight="1" thickBot="1" x14ac:dyDescent="0.3">
      <c r="B25" s="275"/>
      <c r="C25" s="275"/>
      <c r="D25" s="275"/>
      <c r="E25" s="275"/>
      <c r="G25" s="285"/>
      <c r="H25" s="286"/>
      <c r="I25" s="291"/>
      <c r="J25" s="292"/>
      <c r="M25" s="60"/>
    </row>
    <row r="26" spans="2:25" ht="6.95" customHeight="1" x14ac:dyDescent="0.25">
      <c r="M26" s="60"/>
    </row>
    <row r="27" spans="2:25" ht="12" customHeight="1" x14ac:dyDescent="0.25">
      <c r="D27" s="273">
        <f>COUNTIF(Tabla1[Cursar],"SI")</f>
        <v>9</v>
      </c>
      <c r="E27" s="273"/>
      <c r="M27" s="60"/>
    </row>
    <row r="28" spans="2:25" ht="12" customHeight="1" x14ac:dyDescent="0.35">
      <c r="D28" s="273"/>
      <c r="E28" s="273"/>
      <c r="F28" s="12"/>
      <c r="M28" s="60"/>
    </row>
    <row r="29" spans="2:25" ht="15" customHeight="1" thickBot="1" x14ac:dyDescent="0.3">
      <c r="F29" s="9"/>
      <c r="M29" s="60"/>
      <c r="Y29"/>
    </row>
    <row r="30" spans="2:25" ht="19.5" thickBot="1" x14ac:dyDescent="0.3">
      <c r="B30" s="301" t="s">
        <v>7</v>
      </c>
      <c r="C30" s="302"/>
      <c r="D30" s="7"/>
      <c r="E30" s="7"/>
      <c r="F30" s="7"/>
      <c r="G30" s="7"/>
      <c r="H30" s="61"/>
      <c r="M30" s="60"/>
      <c r="Y30"/>
    </row>
    <row r="31" spans="2:25" ht="15.75" x14ac:dyDescent="0.25">
      <c r="B31" s="2"/>
      <c r="C31" s="19"/>
      <c r="D31" s="19"/>
      <c r="E31" s="35" t="s">
        <v>6</v>
      </c>
      <c r="F31" s="19" t="s">
        <v>10</v>
      </c>
      <c r="G31" s="19"/>
      <c r="H31" s="3"/>
      <c r="M31" s="60"/>
      <c r="Y31"/>
    </row>
    <row r="32" spans="2:25" ht="15.75" x14ac:dyDescent="0.25">
      <c r="B32" s="38">
        <v>0</v>
      </c>
      <c r="C32" s="37" t="s">
        <v>85</v>
      </c>
      <c r="D32" s="19"/>
      <c r="E32" s="35" t="s">
        <v>16</v>
      </c>
      <c r="F32" s="19" t="s">
        <v>11</v>
      </c>
      <c r="G32" s="19"/>
      <c r="H32" s="3"/>
      <c r="I32" s="19"/>
      <c r="M32" s="60"/>
      <c r="Y32"/>
    </row>
    <row r="33" spans="2:25" ht="15.75" x14ac:dyDescent="0.25">
      <c r="B33" s="38">
        <v>1</v>
      </c>
      <c r="C33" s="37" t="s">
        <v>4</v>
      </c>
      <c r="D33" s="19"/>
      <c r="E33" s="35" t="s">
        <v>17</v>
      </c>
      <c r="F33" s="19" t="s">
        <v>12</v>
      </c>
      <c r="G33" s="19"/>
      <c r="H33" s="3"/>
      <c r="I33" s="19"/>
      <c r="M33" s="60"/>
      <c r="Y33"/>
    </row>
    <row r="34" spans="2:25" ht="15.75" x14ac:dyDescent="0.25">
      <c r="B34" s="38">
        <v>2</v>
      </c>
      <c r="C34" s="37" t="s">
        <v>15</v>
      </c>
      <c r="D34" s="19"/>
      <c r="E34" s="35" t="s">
        <v>8</v>
      </c>
      <c r="F34" s="19" t="s">
        <v>9</v>
      </c>
      <c r="G34" s="19"/>
      <c r="H34" s="3"/>
      <c r="I34" s="19"/>
      <c r="M34" s="60"/>
      <c r="X34" s="16"/>
      <c r="Y34"/>
    </row>
    <row r="35" spans="2:25" ht="15.75" thickBot="1" x14ac:dyDescent="0.3">
      <c r="B35" s="36"/>
      <c r="C35" s="4"/>
      <c r="D35" s="4"/>
      <c r="E35" s="4"/>
      <c r="F35" s="4"/>
      <c r="G35" s="4"/>
      <c r="H35" s="5"/>
      <c r="I35" s="19"/>
      <c r="M35" s="60"/>
      <c r="X35" s="16"/>
      <c r="Y35"/>
    </row>
    <row r="36" spans="2:25" ht="6.95" customHeight="1" x14ac:dyDescent="0.25">
      <c r="I36" s="19"/>
      <c r="M36" s="60"/>
      <c r="X36" s="16"/>
      <c r="Y36"/>
    </row>
    <row r="37" spans="2:25" ht="15" customHeight="1" x14ac:dyDescent="0.25">
      <c r="I37" s="19"/>
      <c r="M37" s="60"/>
      <c r="X37" s="16"/>
      <c r="Y37"/>
    </row>
    <row r="38" spans="2:25" ht="15" customHeight="1" x14ac:dyDescent="0.25">
      <c r="B38" s="19"/>
      <c r="C38" s="19"/>
      <c r="D38" s="19"/>
      <c r="E38" s="19"/>
      <c r="F38" s="19"/>
      <c r="G38" s="19"/>
      <c r="H38" s="19"/>
      <c r="I38" s="19"/>
      <c r="M38" s="60"/>
      <c r="X38" s="16"/>
      <c r="Y38"/>
    </row>
    <row r="39" spans="2:25" x14ac:dyDescent="0.25">
      <c r="M39" s="60"/>
      <c r="X39" s="16"/>
      <c r="Y39"/>
    </row>
    <row r="40" spans="2:25" x14ac:dyDescent="0.25">
      <c r="M40" s="60"/>
      <c r="X40" s="16"/>
      <c r="Y40"/>
    </row>
    <row r="41" spans="2:25" x14ac:dyDescent="0.25">
      <c r="B41" s="10"/>
      <c r="C41" t="s">
        <v>21</v>
      </c>
      <c r="E41" s="6" t="s">
        <v>54</v>
      </c>
      <c r="G41" s="52" t="s">
        <v>80</v>
      </c>
      <c r="M41" s="60"/>
      <c r="X41" s="16"/>
      <c r="Y41"/>
    </row>
    <row r="42" spans="2:25" ht="15.75" x14ac:dyDescent="0.25">
      <c r="C42" s="1" t="s">
        <v>6</v>
      </c>
      <c r="E42" s="47" t="s">
        <v>69</v>
      </c>
      <c r="G42" s="52" t="s">
        <v>81</v>
      </c>
      <c r="M42" s="60"/>
      <c r="X42" s="16"/>
      <c r="Y42"/>
    </row>
    <row r="43" spans="2:25" ht="15.75" x14ac:dyDescent="0.25">
      <c r="C43" s="1" t="s">
        <v>16</v>
      </c>
      <c r="E43" s="47" t="s">
        <v>70</v>
      </c>
      <c r="G43" s="52" t="s">
        <v>82</v>
      </c>
      <c r="M43" s="60"/>
      <c r="X43" s="16"/>
      <c r="Y43"/>
    </row>
    <row r="44" spans="2:25" ht="15.75" x14ac:dyDescent="0.25">
      <c r="C44" s="1" t="s">
        <v>17</v>
      </c>
      <c r="E44" s="47" t="s">
        <v>71</v>
      </c>
      <c r="M44" s="60"/>
      <c r="X44" s="16"/>
      <c r="Y44"/>
    </row>
    <row r="45" spans="2:25" ht="15.75" x14ac:dyDescent="0.25">
      <c r="C45" s="1" t="s">
        <v>8</v>
      </c>
      <c r="E45" s="47" t="s">
        <v>72</v>
      </c>
      <c r="M45" s="60"/>
      <c r="X45" s="16"/>
      <c r="Y45"/>
    </row>
    <row r="46" spans="2:25" ht="15.75" x14ac:dyDescent="0.25">
      <c r="C46" s="1" t="s">
        <v>19</v>
      </c>
      <c r="E46" s="47" t="s">
        <v>73</v>
      </c>
      <c r="M46" s="60"/>
      <c r="X46" s="16"/>
      <c r="Y46"/>
    </row>
    <row r="47" spans="2:25" ht="15.75" x14ac:dyDescent="0.25">
      <c r="C47" s="1" t="s">
        <v>18</v>
      </c>
      <c r="F47" s="15"/>
      <c r="G47" s="15"/>
      <c r="M47" s="60"/>
      <c r="X47" s="16"/>
      <c r="Y47"/>
    </row>
    <row r="48" spans="2:25" ht="15.75" x14ac:dyDescent="0.25">
      <c r="C48" s="1" t="s">
        <v>20</v>
      </c>
      <c r="F48" s="15"/>
      <c r="M48" s="60"/>
      <c r="X48" s="16"/>
      <c r="Y48"/>
    </row>
    <row r="49" spans="6:39" x14ac:dyDescent="0.25">
      <c r="F49" s="15"/>
      <c r="M49" s="60"/>
      <c r="X49" s="16"/>
      <c r="Y49"/>
    </row>
    <row r="50" spans="6:39" x14ac:dyDescent="0.25">
      <c r="M50" s="60"/>
      <c r="X50" s="16"/>
      <c r="Y50"/>
    </row>
    <row r="51" spans="6:39" x14ac:dyDescent="0.25">
      <c r="M51" t="s">
        <v>83</v>
      </c>
      <c r="AA51" t="s">
        <v>84</v>
      </c>
      <c r="AC51" s="16"/>
    </row>
    <row r="52" spans="6:39" ht="30.75" thickBot="1" x14ac:dyDescent="0.3">
      <c r="M52" s="59" t="s">
        <v>55</v>
      </c>
      <c r="N52" s="92" t="s">
        <v>47</v>
      </c>
      <c r="O52" s="92" t="s">
        <v>41</v>
      </c>
      <c r="P52" s="92" t="s">
        <v>42</v>
      </c>
      <c r="Q52" s="92" t="s">
        <v>43</v>
      </c>
      <c r="R52" s="92" t="s">
        <v>91</v>
      </c>
      <c r="S52" s="92" t="s">
        <v>48</v>
      </c>
      <c r="T52" s="92" t="s">
        <v>44</v>
      </c>
      <c r="U52" s="92" t="s">
        <v>45</v>
      </c>
      <c r="V52" s="188" t="s">
        <v>46</v>
      </c>
      <c r="W52" s="188" t="s">
        <v>92</v>
      </c>
      <c r="X52" s="188" t="s">
        <v>93</v>
      </c>
      <c r="Y52" s="228" t="s">
        <v>120</v>
      </c>
      <c r="AA52" s="59" t="s">
        <v>55</v>
      </c>
      <c r="AB52" s="92" t="s">
        <v>47</v>
      </c>
      <c r="AC52" s="92" t="s">
        <v>41</v>
      </c>
      <c r="AD52" s="92" t="s">
        <v>42</v>
      </c>
      <c r="AE52" s="92" t="s">
        <v>43</v>
      </c>
      <c r="AF52" s="92" t="s">
        <v>91</v>
      </c>
      <c r="AG52" s="92" t="s">
        <v>48</v>
      </c>
      <c r="AH52" s="92" t="s">
        <v>44</v>
      </c>
      <c r="AI52" s="92" t="s">
        <v>45</v>
      </c>
      <c r="AJ52" s="92" t="s">
        <v>46</v>
      </c>
      <c r="AK52" s="92" t="s">
        <v>92</v>
      </c>
      <c r="AL52" s="188" t="s">
        <v>93</v>
      </c>
      <c r="AM52" s="59" t="s">
        <v>120</v>
      </c>
    </row>
    <row r="53" spans="6:39" ht="15.75" thickTop="1" x14ac:dyDescent="0.25">
      <c r="M53" s="212">
        <v>12</v>
      </c>
      <c r="N53" s="186">
        <v>2</v>
      </c>
      <c r="O53" s="186">
        <v>5</v>
      </c>
      <c r="P53" s="186" t="s">
        <v>22</v>
      </c>
      <c r="Q53" s="186" t="s">
        <v>22</v>
      </c>
      <c r="R53" s="186" t="s">
        <v>22</v>
      </c>
      <c r="S53" s="187" t="s">
        <v>22</v>
      </c>
      <c r="T53" s="186" t="s">
        <v>22</v>
      </c>
      <c r="U53" s="186" t="s">
        <v>22</v>
      </c>
      <c r="V53" s="186" t="s">
        <v>22</v>
      </c>
      <c r="W53" s="186" t="s">
        <v>22</v>
      </c>
      <c r="X53" s="186" t="s">
        <v>22</v>
      </c>
      <c r="Y53" s="227" t="s">
        <v>22</v>
      </c>
      <c r="AA53" s="58">
        <v>12</v>
      </c>
      <c r="AB53" s="186">
        <v>1</v>
      </c>
      <c r="AC53" s="186">
        <v>2</v>
      </c>
      <c r="AD53" s="186">
        <v>5</v>
      </c>
      <c r="AE53" s="186" t="s">
        <v>22</v>
      </c>
      <c r="AF53" s="186" t="s">
        <v>22</v>
      </c>
      <c r="AG53" s="187" t="s">
        <v>22</v>
      </c>
      <c r="AH53" s="186" t="s">
        <v>22</v>
      </c>
      <c r="AI53" s="186" t="s">
        <v>22</v>
      </c>
      <c r="AJ53" s="186" t="s">
        <v>22</v>
      </c>
      <c r="AK53" s="186" t="s">
        <v>22</v>
      </c>
      <c r="AL53" s="186" t="s">
        <v>22</v>
      </c>
      <c r="AM53" s="58" t="s">
        <v>22</v>
      </c>
    </row>
    <row r="54" spans="6:39" x14ac:dyDescent="0.25">
      <c r="M54" s="212">
        <v>17</v>
      </c>
      <c r="N54" s="186">
        <v>1</v>
      </c>
      <c r="O54" s="186">
        <v>2</v>
      </c>
      <c r="P54" s="186" t="s">
        <v>22</v>
      </c>
      <c r="Q54" s="186" t="s">
        <v>22</v>
      </c>
      <c r="R54" s="186" t="s">
        <v>22</v>
      </c>
      <c r="S54" s="187" t="s">
        <v>22</v>
      </c>
      <c r="T54" s="186" t="s">
        <v>22</v>
      </c>
      <c r="U54" s="186" t="s">
        <v>22</v>
      </c>
      <c r="V54" s="186" t="s">
        <v>22</v>
      </c>
      <c r="W54" s="186" t="s">
        <v>22</v>
      </c>
      <c r="X54" s="186" t="s">
        <v>22</v>
      </c>
      <c r="Y54" s="227" t="s">
        <v>22</v>
      </c>
      <c r="AA54" s="58">
        <v>17</v>
      </c>
      <c r="AB54" s="186">
        <v>1</v>
      </c>
      <c r="AC54" s="186">
        <v>2</v>
      </c>
      <c r="AD54" s="186">
        <v>5</v>
      </c>
      <c r="AE54" s="186">
        <v>8</v>
      </c>
      <c r="AF54" s="186" t="s">
        <v>22</v>
      </c>
      <c r="AG54" s="187" t="s">
        <v>22</v>
      </c>
      <c r="AH54" s="186" t="s">
        <v>22</v>
      </c>
      <c r="AI54" s="186" t="s">
        <v>22</v>
      </c>
      <c r="AJ54" s="186" t="s">
        <v>22</v>
      </c>
      <c r="AK54" s="186" t="s">
        <v>22</v>
      </c>
      <c r="AL54" s="186" t="s">
        <v>22</v>
      </c>
      <c r="AM54" s="58" t="s">
        <v>22</v>
      </c>
    </row>
    <row r="55" spans="6:39" x14ac:dyDescent="0.25">
      <c r="M55" s="212">
        <v>19</v>
      </c>
      <c r="N55" s="186">
        <v>10</v>
      </c>
      <c r="O55" s="186">
        <v>11</v>
      </c>
      <c r="P55" s="186">
        <v>14</v>
      </c>
      <c r="Q55" s="186" t="s">
        <v>22</v>
      </c>
      <c r="R55" s="186" t="s">
        <v>22</v>
      </c>
      <c r="S55" s="187">
        <v>1</v>
      </c>
      <c r="T55" s="186">
        <v>2</v>
      </c>
      <c r="U55" s="186">
        <v>3</v>
      </c>
      <c r="V55" s="186">
        <v>4</v>
      </c>
      <c r="W55" s="186">
        <v>5</v>
      </c>
      <c r="X55" s="186">
        <v>7</v>
      </c>
      <c r="Y55" s="227" t="s">
        <v>22</v>
      </c>
      <c r="AA55" s="58">
        <v>19</v>
      </c>
      <c r="AB55" s="186">
        <v>10</v>
      </c>
      <c r="AC55" s="186">
        <v>11</v>
      </c>
      <c r="AD55" s="186" t="s">
        <v>22</v>
      </c>
      <c r="AE55" s="186" t="s">
        <v>22</v>
      </c>
      <c r="AF55" s="186" t="s">
        <v>22</v>
      </c>
      <c r="AG55" s="187">
        <v>1</v>
      </c>
      <c r="AH55" s="186">
        <v>2</v>
      </c>
      <c r="AI55" s="186">
        <v>5</v>
      </c>
      <c r="AJ55" s="186" t="s">
        <v>22</v>
      </c>
      <c r="AK55" s="186" t="s">
        <v>22</v>
      </c>
      <c r="AL55" s="186" t="s">
        <v>22</v>
      </c>
      <c r="AM55" s="58" t="s">
        <v>22</v>
      </c>
    </row>
    <row r="56" spans="6:39" x14ac:dyDescent="0.25">
      <c r="M56" s="212">
        <v>22</v>
      </c>
      <c r="N56" s="186">
        <v>9</v>
      </c>
      <c r="O56" s="186">
        <v>11</v>
      </c>
      <c r="P56" s="186">
        <v>14</v>
      </c>
      <c r="Q56" s="186" t="s">
        <v>22</v>
      </c>
      <c r="R56" s="186" t="s">
        <v>22</v>
      </c>
      <c r="S56" s="187">
        <v>1</v>
      </c>
      <c r="T56" s="186">
        <v>5</v>
      </c>
      <c r="U56" s="186">
        <v>7</v>
      </c>
      <c r="V56" s="186">
        <v>8</v>
      </c>
      <c r="W56" s="186" t="s">
        <v>22</v>
      </c>
      <c r="X56" s="186" t="s">
        <v>22</v>
      </c>
      <c r="Y56" s="227" t="s">
        <v>22</v>
      </c>
      <c r="AA56" s="58">
        <v>22</v>
      </c>
      <c r="AB56" s="186">
        <v>9</v>
      </c>
      <c r="AC56" s="186">
        <v>11</v>
      </c>
      <c r="AD56" s="186">
        <v>16</v>
      </c>
      <c r="AE56" s="186">
        <v>17</v>
      </c>
      <c r="AF56" s="186" t="s">
        <v>22</v>
      </c>
      <c r="AG56" s="187">
        <v>1</v>
      </c>
      <c r="AH56" s="186">
        <v>5</v>
      </c>
      <c r="AI56" s="186" t="s">
        <v>22</v>
      </c>
      <c r="AJ56" s="186" t="s">
        <v>22</v>
      </c>
      <c r="AK56" s="186" t="s">
        <v>22</v>
      </c>
      <c r="AL56" s="186" t="s">
        <v>22</v>
      </c>
      <c r="AM56" s="58" t="s">
        <v>22</v>
      </c>
    </row>
    <row r="57" spans="6:39" x14ac:dyDescent="0.25">
      <c r="M57" s="212">
        <v>28</v>
      </c>
      <c r="N57" s="186">
        <v>14</v>
      </c>
      <c r="O57" s="186" t="s">
        <v>22</v>
      </c>
      <c r="P57" s="186" t="s">
        <v>22</v>
      </c>
      <c r="Q57" s="186" t="s">
        <v>22</v>
      </c>
      <c r="R57" s="186" t="s">
        <v>22</v>
      </c>
      <c r="S57" s="187">
        <v>3</v>
      </c>
      <c r="T57" s="186" t="s">
        <v>22</v>
      </c>
      <c r="U57" s="186" t="s">
        <v>22</v>
      </c>
      <c r="V57" s="186" t="s">
        <v>22</v>
      </c>
      <c r="W57" s="186" t="s">
        <v>22</v>
      </c>
      <c r="X57" s="186" t="s">
        <v>22</v>
      </c>
      <c r="Y57" s="227" t="s">
        <v>22</v>
      </c>
      <c r="AA57" s="58">
        <v>28</v>
      </c>
      <c r="AB57" s="186" t="s">
        <v>22</v>
      </c>
      <c r="AC57" s="186" t="s">
        <v>22</v>
      </c>
      <c r="AD57" s="186" t="s">
        <v>22</v>
      </c>
      <c r="AE57" s="186" t="s">
        <v>22</v>
      </c>
      <c r="AF57" s="186" t="s">
        <v>22</v>
      </c>
      <c r="AG57" s="187">
        <v>3</v>
      </c>
      <c r="AH57" s="186" t="s">
        <v>22</v>
      </c>
      <c r="AI57" s="186" t="s">
        <v>22</v>
      </c>
      <c r="AJ57" s="186" t="s">
        <v>22</v>
      </c>
      <c r="AK57" s="186" t="s">
        <v>22</v>
      </c>
      <c r="AL57" s="186" t="s">
        <v>22</v>
      </c>
      <c r="AM57" s="58" t="s">
        <v>22</v>
      </c>
    </row>
    <row r="58" spans="6:39" x14ac:dyDescent="0.25">
      <c r="M58" s="211">
        <v>30</v>
      </c>
      <c r="N58" s="209">
        <v>18</v>
      </c>
      <c r="O58" s="209">
        <v>19</v>
      </c>
      <c r="P58" s="209">
        <v>20</v>
      </c>
      <c r="Q58" s="209">
        <v>22</v>
      </c>
      <c r="R58" s="209">
        <v>23</v>
      </c>
      <c r="S58" s="210">
        <v>6</v>
      </c>
      <c r="T58" s="209">
        <v>9</v>
      </c>
      <c r="U58" s="209">
        <v>10</v>
      </c>
      <c r="V58" s="209">
        <v>11</v>
      </c>
      <c r="W58" s="209">
        <v>14</v>
      </c>
      <c r="X58" s="209">
        <v>16</v>
      </c>
      <c r="Y58" s="227" t="s">
        <v>22</v>
      </c>
      <c r="AA58" s="52">
        <v>30</v>
      </c>
      <c r="AB58" s="186">
        <v>18</v>
      </c>
      <c r="AC58" s="186">
        <v>19</v>
      </c>
      <c r="AD58" s="186">
        <v>20</v>
      </c>
      <c r="AE58" s="186">
        <v>22</v>
      </c>
      <c r="AF58" s="186">
        <v>23</v>
      </c>
      <c r="AG58" s="186">
        <v>6</v>
      </c>
      <c r="AH58" s="186">
        <v>9</v>
      </c>
      <c r="AI58" s="187">
        <v>10</v>
      </c>
      <c r="AJ58" s="186">
        <v>11</v>
      </c>
      <c r="AK58" s="186">
        <v>15</v>
      </c>
      <c r="AL58" s="186">
        <v>16</v>
      </c>
      <c r="AM58" s="58" t="s">
        <v>22</v>
      </c>
    </row>
    <row r="59" spans="6:39" x14ac:dyDescent="0.25">
      <c r="M59" s="211">
        <v>31</v>
      </c>
      <c r="N59" s="209">
        <v>11</v>
      </c>
      <c r="O59" s="209">
        <v>20</v>
      </c>
      <c r="P59" s="209" t="s">
        <v>22</v>
      </c>
      <c r="Q59" s="209" t="s">
        <v>22</v>
      </c>
      <c r="R59" s="209" t="s">
        <v>22</v>
      </c>
      <c r="S59" s="210">
        <v>1</v>
      </c>
      <c r="T59" s="209">
        <v>2</v>
      </c>
      <c r="U59" s="209">
        <v>5</v>
      </c>
      <c r="V59" s="209">
        <v>9</v>
      </c>
      <c r="W59" s="209">
        <v>16</v>
      </c>
      <c r="X59" s="209" t="s">
        <v>22</v>
      </c>
      <c r="Y59" s="227" t="s">
        <v>22</v>
      </c>
      <c r="AA59" s="52">
        <v>31</v>
      </c>
      <c r="AB59" s="186">
        <v>6</v>
      </c>
      <c r="AC59" s="186">
        <v>11</v>
      </c>
      <c r="AD59" s="186">
        <v>18</v>
      </c>
      <c r="AE59" s="186">
        <v>20</v>
      </c>
      <c r="AF59" s="186" t="s">
        <v>22</v>
      </c>
      <c r="AG59" s="186">
        <v>1</v>
      </c>
      <c r="AH59" s="186">
        <v>2</v>
      </c>
      <c r="AI59" s="187">
        <v>5</v>
      </c>
      <c r="AJ59" s="186">
        <v>9</v>
      </c>
      <c r="AK59" s="186">
        <v>16</v>
      </c>
      <c r="AL59" s="186" t="s">
        <v>22</v>
      </c>
      <c r="AM59" s="58" t="s">
        <v>22</v>
      </c>
    </row>
    <row r="60" spans="6:39" x14ac:dyDescent="0.25">
      <c r="M60" s="211">
        <v>32</v>
      </c>
      <c r="N60" s="209">
        <v>18</v>
      </c>
      <c r="O60" s="209">
        <v>22</v>
      </c>
      <c r="P60" s="209">
        <v>23</v>
      </c>
      <c r="Q60" s="209" t="s">
        <v>22</v>
      </c>
      <c r="R60" s="209" t="s">
        <v>22</v>
      </c>
      <c r="S60" s="210">
        <v>6</v>
      </c>
      <c r="T60" s="209">
        <v>9</v>
      </c>
      <c r="U60" s="209">
        <v>11</v>
      </c>
      <c r="V60" s="209">
        <v>14</v>
      </c>
      <c r="W60" s="209">
        <v>15</v>
      </c>
      <c r="X60" s="209">
        <v>16</v>
      </c>
      <c r="Y60" s="227" t="s">
        <v>22</v>
      </c>
      <c r="AA60" s="52">
        <v>32</v>
      </c>
      <c r="AB60" s="186">
        <v>18</v>
      </c>
      <c r="AC60" s="186">
        <v>22</v>
      </c>
      <c r="AD60" s="186">
        <v>23</v>
      </c>
      <c r="AE60" s="186" t="s">
        <v>22</v>
      </c>
      <c r="AF60" s="186" t="s">
        <v>22</v>
      </c>
      <c r="AG60" s="186">
        <v>6</v>
      </c>
      <c r="AH60" s="186">
        <v>9</v>
      </c>
      <c r="AI60" s="187">
        <v>11</v>
      </c>
      <c r="AJ60" s="186">
        <v>14</v>
      </c>
      <c r="AK60" s="186">
        <v>15</v>
      </c>
      <c r="AL60" s="186" t="s">
        <v>22</v>
      </c>
      <c r="AM60" s="58" t="s">
        <v>22</v>
      </c>
    </row>
    <row r="61" spans="6:39" x14ac:dyDescent="0.25">
      <c r="M61" s="211">
        <v>35</v>
      </c>
      <c r="N61" s="209">
        <v>14</v>
      </c>
      <c r="O61" s="209" t="s">
        <v>22</v>
      </c>
      <c r="P61" s="209" t="s">
        <v>22</v>
      </c>
      <c r="Q61" s="209" t="s">
        <v>22</v>
      </c>
      <c r="R61" s="209" t="s">
        <v>22</v>
      </c>
      <c r="S61" s="210">
        <v>3</v>
      </c>
      <c r="T61" s="209" t="s">
        <v>22</v>
      </c>
      <c r="U61" s="209" t="s">
        <v>22</v>
      </c>
      <c r="V61" s="209" t="s">
        <v>22</v>
      </c>
      <c r="W61" s="209" t="s">
        <v>22</v>
      </c>
      <c r="X61" s="209" t="s">
        <v>22</v>
      </c>
      <c r="Y61" s="227" t="s">
        <v>22</v>
      </c>
      <c r="AA61" s="52">
        <v>35</v>
      </c>
      <c r="AB61" s="186" t="s">
        <v>22</v>
      </c>
      <c r="AC61" s="186" t="s">
        <v>22</v>
      </c>
      <c r="AD61" s="186" t="s">
        <v>22</v>
      </c>
      <c r="AE61" s="186" t="s">
        <v>22</v>
      </c>
      <c r="AF61" s="186" t="s">
        <v>22</v>
      </c>
      <c r="AG61" s="186">
        <v>3</v>
      </c>
      <c r="AH61" s="186" t="s">
        <v>22</v>
      </c>
      <c r="AI61" s="187" t="s">
        <v>22</v>
      </c>
      <c r="AJ61" s="186" t="s">
        <v>22</v>
      </c>
      <c r="AK61" s="186" t="s">
        <v>22</v>
      </c>
      <c r="AL61" s="186" t="s">
        <v>22</v>
      </c>
      <c r="AM61" s="58" t="s">
        <v>22</v>
      </c>
    </row>
    <row r="62" spans="6:39" x14ac:dyDescent="0.25">
      <c r="M62" s="58">
        <v>36</v>
      </c>
      <c r="N62" s="58">
        <v>29</v>
      </c>
      <c r="O62" s="58" t="s">
        <v>22</v>
      </c>
      <c r="P62" s="58" t="s">
        <v>22</v>
      </c>
      <c r="Q62" s="58" t="s">
        <v>22</v>
      </c>
      <c r="R62" s="58" t="s">
        <v>22</v>
      </c>
      <c r="S62" s="58">
        <v>11</v>
      </c>
      <c r="T62" s="58" t="s">
        <v>22</v>
      </c>
      <c r="U62" s="58" t="s">
        <v>22</v>
      </c>
      <c r="V62" s="58" t="s">
        <v>22</v>
      </c>
      <c r="W62" s="58" t="s">
        <v>22</v>
      </c>
      <c r="X62" s="58" t="s">
        <v>22</v>
      </c>
      <c r="Y62" s="227" t="s">
        <v>22</v>
      </c>
      <c r="Z62" s="58"/>
      <c r="AA62" s="212">
        <v>36</v>
      </c>
      <c r="AB62" s="212">
        <v>23</v>
      </c>
      <c r="AC62" s="212">
        <v>29</v>
      </c>
      <c r="AD62" s="212" t="s">
        <v>22</v>
      </c>
      <c r="AE62" s="212" t="s">
        <v>22</v>
      </c>
      <c r="AF62" s="230" t="s">
        <v>22</v>
      </c>
      <c r="AG62" s="212">
        <v>11</v>
      </c>
      <c r="AH62" s="212">
        <v>26</v>
      </c>
      <c r="AI62" s="212" t="s">
        <v>22</v>
      </c>
      <c r="AJ62" s="212" t="s">
        <v>22</v>
      </c>
      <c r="AK62" s="212" t="s">
        <v>22</v>
      </c>
      <c r="AL62" s="58" t="s">
        <v>22</v>
      </c>
      <c r="AM62" s="58" t="s">
        <v>22</v>
      </c>
    </row>
    <row r="63" spans="6:39" x14ac:dyDescent="0.25">
      <c r="M63" s="58">
        <v>38</v>
      </c>
      <c r="N63" s="58">
        <v>30</v>
      </c>
      <c r="O63" s="58" t="s">
        <v>22</v>
      </c>
      <c r="P63" s="58" t="s">
        <v>22</v>
      </c>
      <c r="Q63" s="58" t="s">
        <v>22</v>
      </c>
      <c r="R63" s="58" t="s">
        <v>22</v>
      </c>
      <c r="S63" s="58">
        <v>18</v>
      </c>
      <c r="T63" s="58">
        <v>22</v>
      </c>
      <c r="U63" s="58">
        <v>23</v>
      </c>
      <c r="V63" s="58" t="s">
        <v>22</v>
      </c>
      <c r="W63" s="58" t="s">
        <v>22</v>
      </c>
      <c r="X63" s="58" t="s">
        <v>22</v>
      </c>
      <c r="Y63" s="227" t="s">
        <v>22</v>
      </c>
      <c r="Z63" s="58"/>
      <c r="AA63" s="212">
        <v>38</v>
      </c>
      <c r="AB63" s="212">
        <v>30</v>
      </c>
      <c r="AC63" s="212">
        <v>33</v>
      </c>
      <c r="AD63" s="212" t="s">
        <v>22</v>
      </c>
      <c r="AE63" s="212" t="s">
        <v>22</v>
      </c>
      <c r="AF63" s="230" t="s">
        <v>22</v>
      </c>
      <c r="AG63" s="212">
        <v>18</v>
      </c>
      <c r="AH63" s="212">
        <v>22</v>
      </c>
      <c r="AI63" s="212">
        <v>23</v>
      </c>
      <c r="AJ63" s="212">
        <v>26</v>
      </c>
      <c r="AK63" s="212" t="s">
        <v>22</v>
      </c>
      <c r="AL63" s="58" t="s">
        <v>22</v>
      </c>
      <c r="AM63" s="58" t="s">
        <v>22</v>
      </c>
    </row>
    <row r="64" spans="6:39" x14ac:dyDescent="0.25">
      <c r="M64" s="58">
        <v>39</v>
      </c>
      <c r="N64" s="58">
        <v>29</v>
      </c>
      <c r="O64" s="58">
        <v>30</v>
      </c>
      <c r="P64" s="58">
        <v>33</v>
      </c>
      <c r="Q64" s="58" t="s">
        <v>22</v>
      </c>
      <c r="R64" s="58" t="s">
        <v>22</v>
      </c>
      <c r="S64" s="58">
        <v>11</v>
      </c>
      <c r="T64" s="58">
        <v>18</v>
      </c>
      <c r="U64" s="58">
        <v>22</v>
      </c>
      <c r="V64" s="58">
        <v>23</v>
      </c>
      <c r="W64" s="58">
        <v>25</v>
      </c>
      <c r="X64" s="58" t="s">
        <v>22</v>
      </c>
      <c r="Y64" s="227" t="s">
        <v>22</v>
      </c>
      <c r="Z64" s="58"/>
      <c r="AA64" s="212">
        <v>39</v>
      </c>
      <c r="AB64" s="212">
        <v>29</v>
      </c>
      <c r="AC64" s="212">
        <v>30</v>
      </c>
      <c r="AD64" s="212">
        <v>33</v>
      </c>
      <c r="AE64" s="212" t="s">
        <v>22</v>
      </c>
      <c r="AF64" s="230" t="s">
        <v>22</v>
      </c>
      <c r="AG64" s="212">
        <v>11</v>
      </c>
      <c r="AH64" s="212">
        <v>18</v>
      </c>
      <c r="AI64" s="212">
        <v>22</v>
      </c>
      <c r="AJ64" s="212">
        <v>23</v>
      </c>
      <c r="AK64" s="212">
        <v>25</v>
      </c>
      <c r="AL64" s="58">
        <v>26</v>
      </c>
      <c r="AM64" s="58" t="s">
        <v>22</v>
      </c>
    </row>
    <row r="65" spans="13:39" x14ac:dyDescent="0.25">
      <c r="M65" s="58">
        <v>40</v>
      </c>
      <c r="N65" s="58">
        <v>28</v>
      </c>
      <c r="O65" s="58">
        <v>35</v>
      </c>
      <c r="P65" s="58" t="s">
        <v>22</v>
      </c>
      <c r="Q65" s="58" t="s">
        <v>22</v>
      </c>
      <c r="R65" s="58" t="s">
        <v>22</v>
      </c>
      <c r="S65" s="58">
        <v>14</v>
      </c>
      <c r="T65" s="58" t="s">
        <v>22</v>
      </c>
      <c r="U65" s="58" t="s">
        <v>22</v>
      </c>
      <c r="V65" s="58" t="s">
        <v>22</v>
      </c>
      <c r="W65" s="58" t="s">
        <v>22</v>
      </c>
      <c r="X65" s="58" t="s">
        <v>22</v>
      </c>
      <c r="Y65" s="227" t="s">
        <v>22</v>
      </c>
      <c r="Z65" s="58"/>
      <c r="AA65" s="212">
        <v>40</v>
      </c>
      <c r="AB65" s="212">
        <v>28</v>
      </c>
      <c r="AC65" s="212">
        <v>35</v>
      </c>
      <c r="AD65" s="212" t="s">
        <v>22</v>
      </c>
      <c r="AE65" s="212" t="s">
        <v>22</v>
      </c>
      <c r="AF65" s="230" t="s">
        <v>22</v>
      </c>
      <c r="AG65" s="212">
        <v>26</v>
      </c>
      <c r="AH65" s="212" t="s">
        <v>22</v>
      </c>
      <c r="AI65" s="212" t="s">
        <v>22</v>
      </c>
      <c r="AJ65" s="212" t="s">
        <v>22</v>
      </c>
      <c r="AK65" s="212" t="s">
        <v>22</v>
      </c>
      <c r="AL65" s="58" t="s">
        <v>22</v>
      </c>
      <c r="AM65" s="58" t="s">
        <v>22</v>
      </c>
    </row>
    <row r="66" spans="13:39" x14ac:dyDescent="0.25">
      <c r="M66" s="58">
        <v>41</v>
      </c>
      <c r="N66" s="58">
        <v>30</v>
      </c>
      <c r="O66" s="58">
        <v>32</v>
      </c>
      <c r="P66" s="58">
        <v>33</v>
      </c>
      <c r="Q66" s="58" t="s">
        <v>22</v>
      </c>
      <c r="R66" s="58" t="s">
        <v>22</v>
      </c>
      <c r="S66" s="58">
        <v>18</v>
      </c>
      <c r="T66" s="58">
        <v>22</v>
      </c>
      <c r="U66" s="58">
        <v>23</v>
      </c>
      <c r="V66" s="58">
        <v>25</v>
      </c>
      <c r="W66" s="58">
        <v>27</v>
      </c>
      <c r="X66" s="58" t="s">
        <v>22</v>
      </c>
      <c r="Y66" s="227" t="s">
        <v>22</v>
      </c>
      <c r="Z66" s="58"/>
      <c r="AA66" s="212">
        <v>41</v>
      </c>
      <c r="AB66" s="212">
        <v>28</v>
      </c>
      <c r="AC66" s="212">
        <v>30</v>
      </c>
      <c r="AD66" s="212">
        <v>32</v>
      </c>
      <c r="AE66" s="212">
        <v>33</v>
      </c>
      <c r="AF66" s="230" t="s">
        <v>22</v>
      </c>
      <c r="AG66" s="212">
        <v>18</v>
      </c>
      <c r="AH66" s="212">
        <v>19</v>
      </c>
      <c r="AI66" s="212">
        <v>22</v>
      </c>
      <c r="AJ66" s="212">
        <v>23</v>
      </c>
      <c r="AK66" s="212">
        <v>25</v>
      </c>
      <c r="AL66" s="58">
        <v>26</v>
      </c>
      <c r="AM66" s="58">
        <v>27</v>
      </c>
    </row>
    <row r="67" spans="13:39" x14ac:dyDescent="0.25">
      <c r="M67" s="58">
        <v>42</v>
      </c>
      <c r="N67" s="58">
        <v>30</v>
      </c>
      <c r="O67" s="58">
        <v>32</v>
      </c>
      <c r="P67" s="58">
        <v>33</v>
      </c>
      <c r="Q67" s="58" t="s">
        <v>22</v>
      </c>
      <c r="R67" s="58" t="s">
        <v>22</v>
      </c>
      <c r="S67" s="58">
        <v>18</v>
      </c>
      <c r="T67" s="58">
        <v>22</v>
      </c>
      <c r="U67" s="58">
        <v>23</v>
      </c>
      <c r="V67" s="58">
        <v>25</v>
      </c>
      <c r="W67" s="58">
        <v>27</v>
      </c>
      <c r="X67" s="58" t="s">
        <v>22</v>
      </c>
      <c r="Y67" s="227" t="s">
        <v>22</v>
      </c>
      <c r="Z67" s="58"/>
      <c r="AA67" s="52">
        <v>42</v>
      </c>
      <c r="AB67" s="52">
        <v>28</v>
      </c>
      <c r="AC67" s="52">
        <v>30</v>
      </c>
      <c r="AD67" s="52">
        <v>32</v>
      </c>
      <c r="AE67" s="52">
        <v>33</v>
      </c>
      <c r="AF67" s="52" t="s">
        <v>22</v>
      </c>
      <c r="AG67" s="52">
        <v>18</v>
      </c>
      <c r="AH67" s="52">
        <v>19</v>
      </c>
      <c r="AI67" s="52">
        <v>22</v>
      </c>
      <c r="AJ67" s="52">
        <v>23</v>
      </c>
      <c r="AK67" s="52">
        <v>25</v>
      </c>
      <c r="AL67" s="52">
        <v>26</v>
      </c>
      <c r="AM67" s="226">
        <v>27</v>
      </c>
    </row>
    <row r="68" spans="13:39" x14ac:dyDescent="0.25">
      <c r="M68" s="58" t="s">
        <v>27</v>
      </c>
      <c r="N68" s="58">
        <v>21</v>
      </c>
      <c r="O68" s="58">
        <v>30</v>
      </c>
      <c r="P68" s="58">
        <v>34</v>
      </c>
      <c r="Q68" s="58" t="s">
        <v>22</v>
      </c>
      <c r="R68" s="58" t="s">
        <v>22</v>
      </c>
      <c r="S68" s="58">
        <v>9</v>
      </c>
      <c r="T68" s="58">
        <v>16</v>
      </c>
      <c r="U68" s="58">
        <v>18</v>
      </c>
      <c r="V68" s="58">
        <v>22</v>
      </c>
      <c r="W68" s="58">
        <v>23</v>
      </c>
      <c r="X68" s="58">
        <v>24</v>
      </c>
      <c r="Y68" s="227">
        <v>27</v>
      </c>
      <c r="Z68" s="58"/>
      <c r="AA68" s="212" t="s">
        <v>27</v>
      </c>
      <c r="AB68" s="212">
        <v>30</v>
      </c>
      <c r="AC68" s="212">
        <v>34</v>
      </c>
      <c r="AD68" s="212" t="s">
        <v>22</v>
      </c>
      <c r="AE68" s="212" t="s">
        <v>22</v>
      </c>
      <c r="AF68" s="230" t="s">
        <v>22</v>
      </c>
      <c r="AG68" s="212">
        <v>18</v>
      </c>
      <c r="AH68" s="212">
        <v>21</v>
      </c>
      <c r="AI68" s="212">
        <v>22</v>
      </c>
      <c r="AJ68" s="212">
        <v>23</v>
      </c>
      <c r="AK68" s="212">
        <v>24</v>
      </c>
      <c r="AL68" s="58" t="s">
        <v>22</v>
      </c>
      <c r="AM68" s="58" t="s">
        <v>22</v>
      </c>
    </row>
    <row r="69" spans="13:39" x14ac:dyDescent="0.25">
      <c r="M69" s="58" t="s">
        <v>28</v>
      </c>
      <c r="N69" s="58">
        <v>28</v>
      </c>
      <c r="O69" s="58">
        <v>35</v>
      </c>
      <c r="P69" s="58" t="s">
        <v>22</v>
      </c>
      <c r="Q69" s="58" t="s">
        <v>22</v>
      </c>
      <c r="R69" s="58" t="s">
        <v>22</v>
      </c>
      <c r="S69" s="58">
        <v>3</v>
      </c>
      <c r="T69" s="58" t="s">
        <v>22</v>
      </c>
      <c r="U69" s="58" t="s">
        <v>22</v>
      </c>
      <c r="V69" s="58" t="s">
        <v>22</v>
      </c>
      <c r="W69" s="58" t="s">
        <v>22</v>
      </c>
      <c r="X69" s="58" t="s">
        <v>22</v>
      </c>
      <c r="Y69" s="227" t="s">
        <v>22</v>
      </c>
      <c r="Z69" s="58"/>
      <c r="AA69" s="212" t="s">
        <v>28</v>
      </c>
      <c r="AB69" s="212">
        <v>28</v>
      </c>
      <c r="AC69" s="212">
        <v>25</v>
      </c>
      <c r="AD69" s="212" t="s">
        <v>22</v>
      </c>
      <c r="AE69" s="212" t="s">
        <v>22</v>
      </c>
      <c r="AF69" s="230" t="s">
        <v>22</v>
      </c>
      <c r="AG69" s="212">
        <v>3</v>
      </c>
      <c r="AH69" s="212" t="s">
        <v>22</v>
      </c>
      <c r="AI69" s="212" t="s">
        <v>22</v>
      </c>
      <c r="AJ69" s="212" t="s">
        <v>22</v>
      </c>
      <c r="AK69" s="212" t="s">
        <v>22</v>
      </c>
      <c r="AL69" s="58" t="s">
        <v>22</v>
      </c>
      <c r="AM69" s="58" t="s">
        <v>22</v>
      </c>
    </row>
    <row r="70" spans="13:39" x14ac:dyDescent="0.25">
      <c r="M70" s="58" t="s">
        <v>30</v>
      </c>
      <c r="N70" s="58">
        <v>21</v>
      </c>
      <c r="O70" s="58">
        <v>24</v>
      </c>
      <c r="P70" s="58" t="s">
        <v>22</v>
      </c>
      <c r="Q70" s="58" t="s">
        <v>22</v>
      </c>
      <c r="R70" s="58" t="s">
        <v>22</v>
      </c>
      <c r="S70" s="58" t="s">
        <v>22</v>
      </c>
      <c r="T70" s="58" t="s">
        <v>22</v>
      </c>
      <c r="U70" s="58" t="s">
        <v>22</v>
      </c>
      <c r="V70" s="58" t="s">
        <v>22</v>
      </c>
      <c r="W70" s="58" t="s">
        <v>22</v>
      </c>
      <c r="X70" s="58" t="s">
        <v>22</v>
      </c>
      <c r="Y70" s="227" t="s">
        <v>22</v>
      </c>
      <c r="Z70" s="58"/>
      <c r="AA70" s="212" t="s">
        <v>30</v>
      </c>
      <c r="AB70" s="212">
        <v>29</v>
      </c>
      <c r="AC70" s="212">
        <v>34</v>
      </c>
      <c r="AD70" s="212" t="s">
        <v>22</v>
      </c>
      <c r="AE70" s="212" t="s">
        <v>22</v>
      </c>
      <c r="AF70" s="230" t="s">
        <v>22</v>
      </c>
      <c r="AG70" s="212">
        <v>21</v>
      </c>
      <c r="AH70" s="212">
        <v>24</v>
      </c>
      <c r="AI70" s="212" t="s">
        <v>22</v>
      </c>
      <c r="AJ70" s="212" t="s">
        <v>22</v>
      </c>
      <c r="AK70" s="212" t="s">
        <v>22</v>
      </c>
      <c r="AL70" s="58" t="s">
        <v>22</v>
      </c>
      <c r="AM70" s="58" t="s">
        <v>22</v>
      </c>
    </row>
    <row r="71" spans="13:39" x14ac:dyDescent="0.25">
      <c r="M71" s="58" t="s">
        <v>31</v>
      </c>
      <c r="N71" s="58">
        <v>29</v>
      </c>
      <c r="O71" s="58" t="s">
        <v>22</v>
      </c>
      <c r="P71" s="58" t="s">
        <v>22</v>
      </c>
      <c r="Q71" s="58" t="s">
        <v>22</v>
      </c>
      <c r="R71" s="58" t="s">
        <v>22</v>
      </c>
      <c r="S71" s="58">
        <v>25</v>
      </c>
      <c r="T71" s="58" t="s">
        <v>22</v>
      </c>
      <c r="U71" s="58" t="s">
        <v>22</v>
      </c>
      <c r="V71" s="58" t="s">
        <v>22</v>
      </c>
      <c r="W71" s="58" t="s">
        <v>22</v>
      </c>
      <c r="X71" s="58" t="s">
        <v>22</v>
      </c>
      <c r="Y71" s="227" t="s">
        <v>22</v>
      </c>
      <c r="Z71" s="58"/>
      <c r="AA71" s="212" t="s">
        <v>31</v>
      </c>
      <c r="AB71" s="212">
        <v>25</v>
      </c>
      <c r="AC71" s="212">
        <v>26</v>
      </c>
      <c r="AD71" s="212">
        <v>32</v>
      </c>
      <c r="AE71" s="212" t="s">
        <v>22</v>
      </c>
      <c r="AF71" s="230" t="s">
        <v>22</v>
      </c>
      <c r="AG71" s="212">
        <v>8</v>
      </c>
      <c r="AH71" s="212">
        <v>19</v>
      </c>
      <c r="AI71" s="212" t="s">
        <v>22</v>
      </c>
      <c r="AJ71" s="212" t="s">
        <v>22</v>
      </c>
      <c r="AK71" s="212" t="s">
        <v>22</v>
      </c>
      <c r="AL71" s="58" t="s">
        <v>22</v>
      </c>
      <c r="AM71" s="58" t="s">
        <v>22</v>
      </c>
    </row>
    <row r="72" spans="13:39" x14ac:dyDescent="0.25"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227"/>
      <c r="Z72" s="58"/>
      <c r="AA72" s="186"/>
      <c r="AB72" s="186"/>
      <c r="AC72" s="186"/>
      <c r="AD72" s="186"/>
      <c r="AE72" s="186"/>
      <c r="AF72" s="187"/>
      <c r="AG72" s="186"/>
      <c r="AH72" s="186"/>
      <c r="AI72" s="186"/>
      <c r="AJ72" s="186"/>
      <c r="AK72" s="186"/>
    </row>
    <row r="73" spans="13:39" x14ac:dyDescent="0.25"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227"/>
      <c r="AA73" s="186"/>
      <c r="AB73" s="186"/>
      <c r="AC73" s="186"/>
      <c r="AD73" s="186"/>
      <c r="AE73" s="186"/>
      <c r="AF73" s="187"/>
      <c r="AG73" s="186"/>
      <c r="AH73" s="186"/>
      <c r="AI73" s="186"/>
      <c r="AJ73" s="186"/>
      <c r="AK73" s="186"/>
    </row>
    <row r="74" spans="13:39" x14ac:dyDescent="0.25">
      <c r="M74" t="s">
        <v>86</v>
      </c>
    </row>
    <row r="75" spans="13:39" ht="15.75" thickBot="1" x14ac:dyDescent="0.3">
      <c r="M75" s="59" t="s">
        <v>55</v>
      </c>
      <c r="N75" s="92" t="s">
        <v>47</v>
      </c>
      <c r="O75" s="92" t="s">
        <v>41</v>
      </c>
      <c r="P75" s="92" t="s">
        <v>42</v>
      </c>
      <c r="Q75" s="92" t="s">
        <v>43</v>
      </c>
      <c r="R75" s="92" t="s">
        <v>91</v>
      </c>
      <c r="S75" s="92" t="s">
        <v>48</v>
      </c>
      <c r="T75" s="92" t="s">
        <v>44</v>
      </c>
      <c r="U75" s="92" t="s">
        <v>45</v>
      </c>
      <c r="V75" s="92" t="s">
        <v>46</v>
      </c>
      <c r="W75" s="92" t="s">
        <v>92</v>
      </c>
      <c r="X75" s="92" t="s">
        <v>93</v>
      </c>
      <c r="Y75" s="92" t="s">
        <v>120</v>
      </c>
    </row>
    <row r="76" spans="13:39" ht="15.75" thickTop="1" x14ac:dyDescent="0.25">
      <c r="M76" s="52">
        <v>1</v>
      </c>
      <c r="N76" s="52" t="s">
        <v>22</v>
      </c>
      <c r="O76" s="52" t="s">
        <v>22</v>
      </c>
      <c r="P76" s="52" t="s">
        <v>22</v>
      </c>
      <c r="Q76" s="52" t="s">
        <v>22</v>
      </c>
      <c r="R76" s="52" t="s">
        <v>22</v>
      </c>
      <c r="S76" s="52" t="s">
        <v>22</v>
      </c>
      <c r="T76" s="52" t="s">
        <v>22</v>
      </c>
      <c r="U76" s="52" t="s">
        <v>22</v>
      </c>
      <c r="V76" s="52" t="s">
        <v>22</v>
      </c>
      <c r="W76" s="52" t="s">
        <v>22</v>
      </c>
      <c r="X76" s="52" t="s">
        <v>22</v>
      </c>
      <c r="Y76" s="226" t="s">
        <v>22</v>
      </c>
    </row>
    <row r="77" spans="13:39" x14ac:dyDescent="0.25">
      <c r="M77" s="52">
        <v>2</v>
      </c>
      <c r="N77" s="52" t="s">
        <v>22</v>
      </c>
      <c r="O77" s="52" t="s">
        <v>22</v>
      </c>
      <c r="P77" s="52" t="s">
        <v>22</v>
      </c>
      <c r="Q77" s="52" t="s">
        <v>22</v>
      </c>
      <c r="R77" s="52" t="s">
        <v>22</v>
      </c>
      <c r="S77" s="52" t="s">
        <v>22</v>
      </c>
      <c r="T77" s="52" t="s">
        <v>22</v>
      </c>
      <c r="U77" s="52" t="s">
        <v>22</v>
      </c>
      <c r="V77" s="52" t="s">
        <v>22</v>
      </c>
      <c r="W77" s="52" t="s">
        <v>22</v>
      </c>
      <c r="X77" s="52" t="s">
        <v>22</v>
      </c>
      <c r="Y77" s="226" t="s">
        <v>22</v>
      </c>
    </row>
    <row r="78" spans="13:39" x14ac:dyDescent="0.25">
      <c r="M78" s="52">
        <v>3</v>
      </c>
      <c r="N78" s="52" t="s">
        <v>22</v>
      </c>
      <c r="O78" s="52" t="s">
        <v>22</v>
      </c>
      <c r="P78" s="52" t="s">
        <v>22</v>
      </c>
      <c r="Q78" s="52" t="s">
        <v>22</v>
      </c>
      <c r="R78" s="52" t="s">
        <v>22</v>
      </c>
      <c r="S78" s="52" t="s">
        <v>22</v>
      </c>
      <c r="T78" s="52" t="s">
        <v>22</v>
      </c>
      <c r="U78" s="52" t="s">
        <v>22</v>
      </c>
      <c r="V78" s="52" t="s">
        <v>22</v>
      </c>
      <c r="W78" s="52" t="s">
        <v>22</v>
      </c>
      <c r="X78" s="52" t="s">
        <v>22</v>
      </c>
      <c r="Y78" s="226" t="s">
        <v>22</v>
      </c>
    </row>
    <row r="79" spans="13:39" x14ac:dyDescent="0.25">
      <c r="M79" s="52">
        <v>4</v>
      </c>
      <c r="N79" s="52" t="s">
        <v>22</v>
      </c>
      <c r="O79" s="52" t="s">
        <v>22</v>
      </c>
      <c r="P79" s="52" t="s">
        <v>22</v>
      </c>
      <c r="Q79" s="52" t="s">
        <v>22</v>
      </c>
      <c r="R79" s="52" t="s">
        <v>22</v>
      </c>
      <c r="S79" s="52" t="s">
        <v>22</v>
      </c>
      <c r="T79" s="52" t="s">
        <v>22</v>
      </c>
      <c r="U79" s="52" t="s">
        <v>22</v>
      </c>
      <c r="V79" s="52" t="s">
        <v>22</v>
      </c>
      <c r="W79" s="52" t="s">
        <v>22</v>
      </c>
      <c r="X79" s="52" t="s">
        <v>22</v>
      </c>
      <c r="Y79" s="226" t="s">
        <v>22</v>
      </c>
    </row>
    <row r="80" spans="13:39" x14ac:dyDescent="0.25">
      <c r="M80" s="52">
        <v>5</v>
      </c>
      <c r="N80" s="52" t="s">
        <v>22</v>
      </c>
      <c r="O80" s="52" t="s">
        <v>22</v>
      </c>
      <c r="P80" s="52" t="s">
        <v>22</v>
      </c>
      <c r="Q80" s="52" t="s">
        <v>22</v>
      </c>
      <c r="R80" s="52" t="s">
        <v>22</v>
      </c>
      <c r="S80" s="52" t="s">
        <v>22</v>
      </c>
      <c r="T80" s="52" t="s">
        <v>22</v>
      </c>
      <c r="U80" s="52" t="s">
        <v>22</v>
      </c>
      <c r="V80" s="52" t="s">
        <v>22</v>
      </c>
      <c r="W80" s="52" t="s">
        <v>22</v>
      </c>
      <c r="X80" s="52" t="s">
        <v>22</v>
      </c>
      <c r="Y80" s="226" t="s">
        <v>22</v>
      </c>
    </row>
    <row r="81" spans="13:25" x14ac:dyDescent="0.25">
      <c r="M81" s="52">
        <v>6</v>
      </c>
      <c r="N81" s="52" t="s">
        <v>22</v>
      </c>
      <c r="O81" s="52" t="s">
        <v>22</v>
      </c>
      <c r="P81" s="52" t="s">
        <v>22</v>
      </c>
      <c r="Q81" s="52" t="s">
        <v>22</v>
      </c>
      <c r="R81" s="52" t="s">
        <v>22</v>
      </c>
      <c r="S81" s="52" t="s">
        <v>22</v>
      </c>
      <c r="T81" s="52" t="s">
        <v>22</v>
      </c>
      <c r="U81" s="52" t="s">
        <v>22</v>
      </c>
      <c r="V81" s="52" t="s">
        <v>22</v>
      </c>
      <c r="W81" s="52" t="s">
        <v>22</v>
      </c>
      <c r="X81" s="52" t="s">
        <v>22</v>
      </c>
      <c r="Y81" s="226" t="s">
        <v>22</v>
      </c>
    </row>
    <row r="82" spans="13:25" x14ac:dyDescent="0.25">
      <c r="M82" s="52">
        <v>7</v>
      </c>
      <c r="N82" s="52" t="s">
        <v>22</v>
      </c>
      <c r="O82" s="52" t="s">
        <v>22</v>
      </c>
      <c r="P82" s="52" t="s">
        <v>22</v>
      </c>
      <c r="Q82" s="52" t="s">
        <v>22</v>
      </c>
      <c r="R82" s="52" t="s">
        <v>22</v>
      </c>
      <c r="S82" s="52" t="s">
        <v>22</v>
      </c>
      <c r="T82" s="52" t="s">
        <v>22</v>
      </c>
      <c r="U82" s="52" t="s">
        <v>22</v>
      </c>
      <c r="V82" s="52" t="s">
        <v>22</v>
      </c>
      <c r="W82" s="52" t="s">
        <v>22</v>
      </c>
      <c r="X82" s="52" t="s">
        <v>22</v>
      </c>
      <c r="Y82" s="226" t="s">
        <v>22</v>
      </c>
    </row>
    <row r="83" spans="13:25" x14ac:dyDescent="0.25">
      <c r="M83" s="52">
        <v>8</v>
      </c>
      <c r="N83" s="52" t="s">
        <v>22</v>
      </c>
      <c r="O83" s="52" t="s">
        <v>22</v>
      </c>
      <c r="P83" s="52" t="s">
        <v>22</v>
      </c>
      <c r="Q83" s="52" t="s">
        <v>22</v>
      </c>
      <c r="R83" s="52" t="s">
        <v>22</v>
      </c>
      <c r="S83" s="52" t="s">
        <v>22</v>
      </c>
      <c r="T83" s="52" t="s">
        <v>22</v>
      </c>
      <c r="U83" s="52" t="s">
        <v>22</v>
      </c>
      <c r="V83" s="52" t="s">
        <v>22</v>
      </c>
      <c r="W83" s="52" t="s">
        <v>22</v>
      </c>
      <c r="X83" s="52" t="s">
        <v>22</v>
      </c>
      <c r="Y83" s="226" t="s">
        <v>22</v>
      </c>
    </row>
    <row r="84" spans="13:25" x14ac:dyDescent="0.25">
      <c r="M84" s="52">
        <v>9</v>
      </c>
      <c r="N84" s="52">
        <v>1</v>
      </c>
      <c r="O84" s="52">
        <v>5</v>
      </c>
      <c r="P84" s="52" t="s">
        <v>22</v>
      </c>
      <c r="Q84" s="52" t="s">
        <v>22</v>
      </c>
      <c r="R84" s="52" t="s">
        <v>22</v>
      </c>
      <c r="S84" s="52" t="s">
        <v>22</v>
      </c>
      <c r="T84" s="52" t="s">
        <v>22</v>
      </c>
      <c r="U84" s="52" t="s">
        <v>22</v>
      </c>
      <c r="V84" s="52" t="s">
        <v>22</v>
      </c>
      <c r="W84" s="52" t="s">
        <v>22</v>
      </c>
      <c r="X84" s="52" t="s">
        <v>22</v>
      </c>
      <c r="Y84" s="226" t="s">
        <v>22</v>
      </c>
    </row>
    <row r="85" spans="13:25" x14ac:dyDescent="0.25">
      <c r="M85" s="52">
        <v>10</v>
      </c>
      <c r="N85" s="52">
        <v>1</v>
      </c>
      <c r="O85" s="52">
        <v>2</v>
      </c>
      <c r="P85" s="52" t="s">
        <v>22</v>
      </c>
      <c r="Q85" s="52" t="s">
        <v>22</v>
      </c>
      <c r="R85" s="52" t="s">
        <v>22</v>
      </c>
      <c r="S85" s="52" t="s">
        <v>22</v>
      </c>
      <c r="T85" s="52" t="s">
        <v>22</v>
      </c>
      <c r="U85" s="52" t="s">
        <v>22</v>
      </c>
      <c r="V85" s="52" t="s">
        <v>22</v>
      </c>
      <c r="W85" s="52" t="s">
        <v>22</v>
      </c>
      <c r="X85" s="52" t="s">
        <v>22</v>
      </c>
      <c r="Y85" s="226" t="s">
        <v>22</v>
      </c>
    </row>
    <row r="86" spans="13:25" x14ac:dyDescent="0.25">
      <c r="M86" s="52">
        <v>11</v>
      </c>
      <c r="N86" s="52">
        <v>1</v>
      </c>
      <c r="O86" s="52">
        <v>2</v>
      </c>
      <c r="P86" s="52">
        <v>5</v>
      </c>
      <c r="Q86" s="52" t="s">
        <v>22</v>
      </c>
      <c r="R86" s="52" t="s">
        <v>22</v>
      </c>
      <c r="S86" s="52" t="s">
        <v>22</v>
      </c>
      <c r="T86" s="52" t="s">
        <v>22</v>
      </c>
      <c r="U86" s="52" t="s">
        <v>22</v>
      </c>
      <c r="V86" s="52" t="s">
        <v>22</v>
      </c>
      <c r="W86" s="52" t="s">
        <v>22</v>
      </c>
      <c r="X86" s="52" t="s">
        <v>22</v>
      </c>
      <c r="Y86" s="226" t="s">
        <v>22</v>
      </c>
    </row>
    <row r="87" spans="13:25" x14ac:dyDescent="0.25">
      <c r="M87" s="52">
        <v>13</v>
      </c>
      <c r="N87" s="52">
        <v>1</v>
      </c>
      <c r="O87" s="52">
        <v>5</v>
      </c>
      <c r="P87" s="52" t="s">
        <v>22</v>
      </c>
      <c r="Q87" s="52" t="s">
        <v>22</v>
      </c>
      <c r="R87" s="52" t="s">
        <v>22</v>
      </c>
      <c r="S87" s="52" t="s">
        <v>22</v>
      </c>
      <c r="T87" s="52" t="s">
        <v>22</v>
      </c>
      <c r="U87" s="52" t="s">
        <v>22</v>
      </c>
      <c r="V87" s="52" t="s">
        <v>22</v>
      </c>
      <c r="W87" s="52" t="s">
        <v>22</v>
      </c>
      <c r="X87" s="52" t="s">
        <v>22</v>
      </c>
      <c r="Y87" s="226" t="s">
        <v>22</v>
      </c>
    </row>
    <row r="88" spans="13:25" x14ac:dyDescent="0.25">
      <c r="M88" s="52">
        <v>14</v>
      </c>
      <c r="N88" s="52">
        <v>1</v>
      </c>
      <c r="O88" s="52">
        <v>5</v>
      </c>
      <c r="P88" s="52">
        <v>7</v>
      </c>
      <c r="Q88" s="52" t="s">
        <v>22</v>
      </c>
      <c r="R88" s="52" t="s">
        <v>22</v>
      </c>
      <c r="S88" s="52" t="s">
        <v>22</v>
      </c>
      <c r="T88" s="52" t="s">
        <v>22</v>
      </c>
      <c r="U88" s="52" t="s">
        <v>22</v>
      </c>
      <c r="V88" s="52" t="s">
        <v>22</v>
      </c>
      <c r="W88" s="52" t="s">
        <v>22</v>
      </c>
      <c r="X88" s="52" t="s">
        <v>22</v>
      </c>
      <c r="Y88" s="226" t="s">
        <v>22</v>
      </c>
    </row>
    <row r="89" spans="13:25" x14ac:dyDescent="0.25">
      <c r="M89" s="52">
        <v>15</v>
      </c>
      <c r="N89" s="52" t="s">
        <v>22</v>
      </c>
      <c r="O89" s="52" t="s">
        <v>22</v>
      </c>
      <c r="P89" s="52" t="s">
        <v>22</v>
      </c>
      <c r="Q89" s="52" t="s">
        <v>22</v>
      </c>
      <c r="R89" s="52" t="s">
        <v>22</v>
      </c>
      <c r="S89" s="52" t="s">
        <v>22</v>
      </c>
      <c r="T89" s="52" t="s">
        <v>22</v>
      </c>
      <c r="U89" s="52" t="s">
        <v>22</v>
      </c>
      <c r="V89" s="52" t="s">
        <v>22</v>
      </c>
      <c r="W89" s="52" t="s">
        <v>22</v>
      </c>
      <c r="X89" s="52" t="s">
        <v>22</v>
      </c>
      <c r="Y89" s="226" t="s">
        <v>22</v>
      </c>
    </row>
    <row r="90" spans="13:25" x14ac:dyDescent="0.25">
      <c r="M90" s="52">
        <v>16</v>
      </c>
      <c r="N90" s="52">
        <v>1</v>
      </c>
      <c r="O90" s="52">
        <v>2</v>
      </c>
      <c r="P90" s="52" t="s">
        <v>22</v>
      </c>
      <c r="Q90" s="52" t="s">
        <v>22</v>
      </c>
      <c r="R90" s="52" t="s">
        <v>22</v>
      </c>
      <c r="S90" s="52" t="s">
        <v>22</v>
      </c>
      <c r="T90" s="52" t="s">
        <v>22</v>
      </c>
      <c r="U90" s="52" t="s">
        <v>22</v>
      </c>
      <c r="V90" s="52" t="s">
        <v>22</v>
      </c>
      <c r="W90" s="52" t="s">
        <v>22</v>
      </c>
      <c r="X90" s="52" t="s">
        <v>22</v>
      </c>
      <c r="Y90" s="226" t="s">
        <v>22</v>
      </c>
    </row>
    <row r="91" spans="13:25" x14ac:dyDescent="0.25">
      <c r="M91" s="52">
        <v>18</v>
      </c>
      <c r="N91" s="52">
        <v>6</v>
      </c>
      <c r="O91" s="52">
        <v>9</v>
      </c>
      <c r="P91" s="52" t="s">
        <v>22</v>
      </c>
      <c r="Q91" s="52" t="s">
        <v>22</v>
      </c>
      <c r="R91" s="52" t="s">
        <v>22</v>
      </c>
      <c r="S91" s="52">
        <v>1</v>
      </c>
      <c r="T91" s="52">
        <v>5</v>
      </c>
      <c r="U91" s="52" t="s">
        <v>22</v>
      </c>
      <c r="V91" s="52" t="s">
        <v>22</v>
      </c>
      <c r="W91" s="52" t="s">
        <v>22</v>
      </c>
      <c r="X91" s="52" t="s">
        <v>22</v>
      </c>
      <c r="Y91" s="226" t="s">
        <v>22</v>
      </c>
    </row>
    <row r="92" spans="13:25" x14ac:dyDescent="0.25">
      <c r="M92" s="52">
        <v>20</v>
      </c>
      <c r="N92" s="52">
        <v>9</v>
      </c>
      <c r="O92" s="52">
        <v>16</v>
      </c>
      <c r="P92" s="52" t="s">
        <v>22</v>
      </c>
      <c r="Q92" s="52" t="s">
        <v>22</v>
      </c>
      <c r="R92" s="52" t="s">
        <v>22</v>
      </c>
      <c r="S92" s="52">
        <v>1</v>
      </c>
      <c r="T92" s="52">
        <v>2</v>
      </c>
      <c r="U92" s="52">
        <v>5</v>
      </c>
      <c r="V92" s="52" t="s">
        <v>22</v>
      </c>
      <c r="W92" s="52" t="s">
        <v>22</v>
      </c>
      <c r="X92" s="52" t="s">
        <v>22</v>
      </c>
      <c r="Y92" s="226" t="s">
        <v>22</v>
      </c>
    </row>
    <row r="93" spans="13:25" x14ac:dyDescent="0.25">
      <c r="M93" s="52">
        <v>21</v>
      </c>
      <c r="N93" s="52">
        <v>9</v>
      </c>
      <c r="O93" s="52">
        <v>16</v>
      </c>
      <c r="P93" s="52" t="s">
        <v>22</v>
      </c>
      <c r="Q93" s="52" t="s">
        <v>22</v>
      </c>
      <c r="R93" s="52" t="s">
        <v>22</v>
      </c>
      <c r="S93" s="52">
        <v>1</v>
      </c>
      <c r="T93" s="52">
        <v>2</v>
      </c>
      <c r="U93" s="52">
        <v>5</v>
      </c>
      <c r="V93" s="52" t="s">
        <v>22</v>
      </c>
      <c r="W93" s="52" t="s">
        <v>22</v>
      </c>
      <c r="X93" s="52" t="s">
        <v>22</v>
      </c>
      <c r="Y93" s="226" t="s">
        <v>22</v>
      </c>
    </row>
    <row r="94" spans="13:25" x14ac:dyDescent="0.25">
      <c r="M94" s="52">
        <v>23</v>
      </c>
      <c r="N94" s="52">
        <v>9</v>
      </c>
      <c r="O94" s="52">
        <v>11</v>
      </c>
      <c r="P94" s="52">
        <v>16</v>
      </c>
      <c r="Q94" s="52" t="s">
        <v>22</v>
      </c>
      <c r="R94" s="52" t="s">
        <v>22</v>
      </c>
      <c r="S94" s="52">
        <v>1</v>
      </c>
      <c r="T94" s="52">
        <v>2</v>
      </c>
      <c r="U94" s="52">
        <v>5</v>
      </c>
      <c r="V94" s="52" t="s">
        <v>22</v>
      </c>
      <c r="W94" s="52" t="s">
        <v>22</v>
      </c>
      <c r="X94" s="52" t="s">
        <v>22</v>
      </c>
      <c r="Y94" s="226" t="s">
        <v>22</v>
      </c>
    </row>
    <row r="95" spans="13:25" x14ac:dyDescent="0.25">
      <c r="M95" s="52">
        <v>24</v>
      </c>
      <c r="N95" s="52">
        <v>9</v>
      </c>
      <c r="O95" s="52">
        <v>16</v>
      </c>
      <c r="P95" s="52" t="s">
        <v>22</v>
      </c>
      <c r="Q95" s="52" t="s">
        <v>22</v>
      </c>
      <c r="R95" s="52" t="s">
        <v>22</v>
      </c>
      <c r="S95" s="52">
        <v>1</v>
      </c>
      <c r="T95" s="52">
        <v>2</v>
      </c>
      <c r="U95" s="52">
        <v>5</v>
      </c>
      <c r="V95" s="52" t="s">
        <v>22</v>
      </c>
      <c r="W95" s="52" t="s">
        <v>22</v>
      </c>
      <c r="X95" s="52" t="s">
        <v>22</v>
      </c>
      <c r="Y95" s="226" t="s">
        <v>22</v>
      </c>
    </row>
    <row r="96" spans="13:25" x14ac:dyDescent="0.25">
      <c r="M96" s="52">
        <v>25</v>
      </c>
      <c r="N96" s="52">
        <v>16</v>
      </c>
      <c r="O96" s="52">
        <v>17</v>
      </c>
      <c r="P96" s="52" t="s">
        <v>22</v>
      </c>
      <c r="Q96" s="52" t="s">
        <v>22</v>
      </c>
      <c r="R96" s="52" t="s">
        <v>22</v>
      </c>
      <c r="S96" s="52">
        <v>1</v>
      </c>
      <c r="T96" s="52">
        <v>2</v>
      </c>
      <c r="U96" s="52" t="s">
        <v>22</v>
      </c>
      <c r="V96" s="52" t="s">
        <v>22</v>
      </c>
      <c r="W96" s="52" t="s">
        <v>22</v>
      </c>
      <c r="X96" s="52" t="s">
        <v>22</v>
      </c>
      <c r="Y96" s="226" t="s">
        <v>22</v>
      </c>
    </row>
    <row r="97" spans="13:25" x14ac:dyDescent="0.25">
      <c r="M97" s="52">
        <v>26</v>
      </c>
      <c r="N97" s="52">
        <v>9</v>
      </c>
      <c r="O97" s="52">
        <v>11</v>
      </c>
      <c r="P97" s="52">
        <v>16</v>
      </c>
      <c r="Q97" s="52">
        <v>17</v>
      </c>
      <c r="R97" s="52" t="s">
        <v>22</v>
      </c>
      <c r="S97" s="52">
        <v>1</v>
      </c>
      <c r="T97" s="52">
        <v>5</v>
      </c>
      <c r="U97" s="52" t="s">
        <v>22</v>
      </c>
      <c r="V97" s="52" t="s">
        <v>22</v>
      </c>
      <c r="W97" s="52" t="s">
        <v>22</v>
      </c>
      <c r="X97" s="52" t="s">
        <v>22</v>
      </c>
      <c r="Y97" s="226" t="s">
        <v>22</v>
      </c>
    </row>
    <row r="98" spans="13:25" x14ac:dyDescent="0.25">
      <c r="M98" s="52">
        <v>27</v>
      </c>
      <c r="N98" s="52" t="s">
        <v>22</v>
      </c>
      <c r="O98" s="52" t="s">
        <v>22</v>
      </c>
      <c r="P98" s="52" t="s">
        <v>22</v>
      </c>
      <c r="Q98" s="52" t="s">
        <v>22</v>
      </c>
      <c r="R98" s="52" t="s">
        <v>22</v>
      </c>
      <c r="S98" s="52">
        <v>15</v>
      </c>
      <c r="T98" s="52" t="s">
        <v>22</v>
      </c>
      <c r="U98" s="52" t="s">
        <v>22</v>
      </c>
      <c r="V98" s="52" t="s">
        <v>22</v>
      </c>
      <c r="W98" s="52" t="s">
        <v>22</v>
      </c>
      <c r="X98" s="52" t="s">
        <v>22</v>
      </c>
      <c r="Y98" s="226" t="s">
        <v>22</v>
      </c>
    </row>
    <row r="99" spans="13:25" x14ac:dyDescent="0.25">
      <c r="M99" s="52">
        <v>29</v>
      </c>
      <c r="N99" s="52">
        <v>11</v>
      </c>
      <c r="O99" s="52" t="s">
        <v>22</v>
      </c>
      <c r="P99" s="52" t="s">
        <v>22</v>
      </c>
      <c r="Q99" s="52" t="s">
        <v>22</v>
      </c>
      <c r="R99" s="52" t="s">
        <v>22</v>
      </c>
      <c r="S99" s="52">
        <v>1</v>
      </c>
      <c r="T99" s="52">
        <v>5</v>
      </c>
      <c r="U99" s="52" t="s">
        <v>22</v>
      </c>
      <c r="V99" s="52" t="s">
        <v>22</v>
      </c>
      <c r="W99" s="52" t="s">
        <v>22</v>
      </c>
      <c r="X99" s="52" t="s">
        <v>22</v>
      </c>
      <c r="Y99" s="226" t="s">
        <v>22</v>
      </c>
    </row>
    <row r="100" spans="13:25" x14ac:dyDescent="0.25">
      <c r="M100" s="52">
        <v>33</v>
      </c>
      <c r="N100" s="52">
        <v>23</v>
      </c>
      <c r="O100" s="52">
        <v>25</v>
      </c>
      <c r="P100" s="52" t="s">
        <v>22</v>
      </c>
      <c r="Q100" s="52" t="s">
        <v>22</v>
      </c>
      <c r="R100" s="52" t="s">
        <v>22</v>
      </c>
      <c r="S100" s="52">
        <v>11</v>
      </c>
      <c r="T100" s="52">
        <v>16</v>
      </c>
      <c r="U100" s="52" t="s">
        <v>22</v>
      </c>
      <c r="V100" s="52" t="s">
        <v>22</v>
      </c>
      <c r="W100" s="52" t="s">
        <v>22</v>
      </c>
      <c r="X100" s="52" t="s">
        <v>22</v>
      </c>
      <c r="Y100" s="226" t="s">
        <v>22</v>
      </c>
    </row>
    <row r="101" spans="13:25" x14ac:dyDescent="0.25">
      <c r="M101" s="52">
        <v>34</v>
      </c>
      <c r="N101" s="52">
        <v>12</v>
      </c>
      <c r="O101" s="52">
        <v>13</v>
      </c>
      <c r="P101" s="52">
        <v>24</v>
      </c>
      <c r="Q101" s="52" t="s">
        <v>22</v>
      </c>
      <c r="R101" s="52" t="s">
        <v>22</v>
      </c>
      <c r="S101" s="52">
        <v>9</v>
      </c>
      <c r="T101" s="52">
        <v>16</v>
      </c>
      <c r="U101" s="52" t="s">
        <v>22</v>
      </c>
      <c r="V101" s="52" t="s">
        <v>22</v>
      </c>
      <c r="W101" s="52" t="s">
        <v>22</v>
      </c>
      <c r="X101" s="52" t="s">
        <v>22</v>
      </c>
      <c r="Y101" s="226" t="s">
        <v>22</v>
      </c>
    </row>
    <row r="102" spans="13:25" x14ac:dyDescent="0.25">
      <c r="M102" s="52">
        <v>37</v>
      </c>
      <c r="N102" s="52">
        <v>21</v>
      </c>
      <c r="O102" s="52">
        <v>30</v>
      </c>
      <c r="P102" s="52">
        <v>34</v>
      </c>
      <c r="Q102" s="52" t="s">
        <v>22</v>
      </c>
      <c r="R102" s="52" t="s">
        <v>22</v>
      </c>
      <c r="S102" s="52">
        <v>12</v>
      </c>
      <c r="T102" s="52">
        <v>13</v>
      </c>
      <c r="U102" s="52">
        <v>18</v>
      </c>
      <c r="V102" s="52">
        <v>22</v>
      </c>
      <c r="W102" s="52">
        <v>23</v>
      </c>
      <c r="X102" s="52">
        <v>24</v>
      </c>
      <c r="Y102" s="226" t="s">
        <v>22</v>
      </c>
    </row>
    <row r="103" spans="13:25" x14ac:dyDescent="0.25">
      <c r="M103" s="52" t="s">
        <v>26</v>
      </c>
      <c r="N103" s="52">
        <v>31</v>
      </c>
      <c r="O103" s="52" t="s">
        <v>22</v>
      </c>
      <c r="P103" s="52" t="s">
        <v>22</v>
      </c>
      <c r="Q103" s="52" t="s">
        <v>22</v>
      </c>
      <c r="R103" s="52" t="s">
        <v>22</v>
      </c>
      <c r="S103" s="52">
        <v>20</v>
      </c>
      <c r="T103" s="52" t="s">
        <v>22</v>
      </c>
      <c r="U103" s="52" t="s">
        <v>22</v>
      </c>
      <c r="V103" s="52" t="s">
        <v>22</v>
      </c>
      <c r="W103" s="52" t="s">
        <v>22</v>
      </c>
      <c r="X103" s="52" t="s">
        <v>22</v>
      </c>
      <c r="Y103" s="226" t="s">
        <v>22</v>
      </c>
    </row>
    <row r="104" spans="13:25" x14ac:dyDescent="0.25">
      <c r="M104" s="52" t="s">
        <v>29</v>
      </c>
      <c r="N104" s="52">
        <v>12</v>
      </c>
      <c r="O104" s="52">
        <v>13</v>
      </c>
      <c r="P104" s="52" t="s">
        <v>22</v>
      </c>
      <c r="Q104" s="52" t="s">
        <v>22</v>
      </c>
      <c r="R104" s="52" t="s">
        <v>22</v>
      </c>
      <c r="S104" s="52">
        <v>1</v>
      </c>
      <c r="T104" s="52">
        <v>2</v>
      </c>
      <c r="U104" s="52">
        <v>5</v>
      </c>
      <c r="V104" s="52" t="s">
        <v>22</v>
      </c>
      <c r="W104" s="52" t="s">
        <v>22</v>
      </c>
      <c r="X104" s="52" t="s">
        <v>22</v>
      </c>
      <c r="Y104" s="226" t="s">
        <v>22</v>
      </c>
    </row>
    <row r="105" spans="13:25" x14ac:dyDescent="0.25"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</row>
    <row r="107" spans="13:25" x14ac:dyDescent="0.25">
      <c r="M107" s="45" t="s">
        <v>65</v>
      </c>
    </row>
    <row r="108" spans="13:25" x14ac:dyDescent="0.25">
      <c r="M108" s="46" t="str" cm="1">
        <f t="array" ref="M108:M155">_xlfn._xlws.SORT(_xlfn._xlws.FILTER(Tabla1[Materia],Tabla1[HALLAR]))</f>
        <v>Accionamientos y Controles Eléctricos</v>
      </c>
    </row>
    <row r="109" spans="13:25" x14ac:dyDescent="0.25">
      <c r="M109" t="str">
        <v>Álgebra y Geometría Analítica</v>
      </c>
    </row>
    <row r="110" spans="13:25" x14ac:dyDescent="0.25">
      <c r="M110" t="str">
        <v>Análisis Matemático 1</v>
      </c>
    </row>
    <row r="111" spans="13:25" x14ac:dyDescent="0.25">
      <c r="M111" t="str">
        <v>Análisis Matemático 2</v>
      </c>
    </row>
    <row r="112" spans="13:25" x14ac:dyDescent="0.25">
      <c r="M112" t="str">
        <v>Cálculo Numérico</v>
      </c>
    </row>
    <row r="113" spans="13:13" x14ac:dyDescent="0.25">
      <c r="M113" t="str">
        <v>Centrales y Protecciones Eléctricas</v>
      </c>
    </row>
    <row r="114" spans="13:13" x14ac:dyDescent="0.25">
      <c r="M114" t="str">
        <v>Control Automático</v>
      </c>
    </row>
    <row r="115" spans="13:13" x14ac:dyDescent="0.25">
      <c r="M115" t="str">
        <v>Economía</v>
      </c>
    </row>
    <row r="116" spans="13:13" x14ac:dyDescent="0.25">
      <c r="M116" t="str">
        <v>Electrónica 1</v>
      </c>
    </row>
    <row r="117" spans="13:13" x14ac:dyDescent="0.25">
      <c r="M117" t="str">
        <v>Electrónica 2</v>
      </c>
    </row>
    <row r="118" spans="13:13" x14ac:dyDescent="0.25">
      <c r="M118" t="str">
        <v>Electrotecnia 1</v>
      </c>
    </row>
    <row r="119" spans="13:13" x14ac:dyDescent="0.25">
      <c r="M119" t="str">
        <v>Electrotecnia 2</v>
      </c>
    </row>
    <row r="120" spans="13:13" x14ac:dyDescent="0.25">
      <c r="M120" t="str">
        <v>Elementos de Máquinas y Tecnología Mecánica</v>
      </c>
    </row>
    <row r="121" spans="13:13" x14ac:dyDescent="0.25">
      <c r="M121" t="str">
        <v>Estabilidad</v>
      </c>
    </row>
    <row r="122" spans="13:13" x14ac:dyDescent="0.25">
      <c r="M122" t="str">
        <v>Física 1</v>
      </c>
    </row>
    <row r="123" spans="13:13" x14ac:dyDescent="0.25">
      <c r="M123" t="str">
        <v>Física 2</v>
      </c>
    </row>
    <row r="124" spans="13:13" x14ac:dyDescent="0.25">
      <c r="M124" t="str">
        <v>Física 3</v>
      </c>
    </row>
    <row r="125" spans="13:13" x14ac:dyDescent="0.25">
      <c r="M125" t="str">
        <v>Fuentes no Convencionales de Energía</v>
      </c>
    </row>
    <row r="126" spans="13:13" x14ac:dyDescent="0.25">
      <c r="M126" t="str">
        <v>Fundamentos de Informática</v>
      </c>
    </row>
    <row r="127" spans="13:13" x14ac:dyDescent="0.25">
      <c r="M127" t="str">
        <v>Fundamentos Para el Análisis de Señales</v>
      </c>
    </row>
    <row r="128" spans="13:13" x14ac:dyDescent="0.25">
      <c r="M128" t="str">
        <v>Generación, Transmisión y Distribución de la Energía Eléctrica</v>
      </c>
    </row>
    <row r="129" spans="13:13" x14ac:dyDescent="0.25">
      <c r="M129" t="str">
        <v>Impacto Ambiental de Líneas y Centrales Eléctricas</v>
      </c>
    </row>
    <row r="130" spans="13:13" x14ac:dyDescent="0.25">
      <c r="M130" t="str">
        <v>Ingeniería y Sociedad</v>
      </c>
    </row>
    <row r="131" spans="13:13" x14ac:dyDescent="0.25">
      <c r="M131" t="str">
        <v>Inglés 1</v>
      </c>
    </row>
    <row r="132" spans="13:13" x14ac:dyDescent="0.25">
      <c r="M132" t="str">
        <v>Inglés 2</v>
      </c>
    </row>
    <row r="133" spans="13:13" x14ac:dyDescent="0.25">
      <c r="M133" t="str">
        <v>Instalaciones Eléctricas y Luminotecnia</v>
      </c>
    </row>
    <row r="134" spans="13:13" x14ac:dyDescent="0.25">
      <c r="M134" t="str">
        <v>Instrumentos y Mediciones Eléctricas</v>
      </c>
    </row>
    <row r="135" spans="13:13" x14ac:dyDescent="0.25">
      <c r="M135" t="str">
        <v>Integración Eléctrica 1</v>
      </c>
    </row>
    <row r="136" spans="13:13" x14ac:dyDescent="0.25">
      <c r="M136" t="str">
        <v>Integración Eléctrica 2</v>
      </c>
    </row>
    <row r="137" spans="13:13" x14ac:dyDescent="0.25">
      <c r="M137" t="str">
        <v>Legislación</v>
      </c>
    </row>
    <row r="138" spans="13:13" x14ac:dyDescent="0.25">
      <c r="M138" t="str">
        <v>Legislación Laboral</v>
      </c>
    </row>
    <row r="139" spans="13:13" x14ac:dyDescent="0.25">
      <c r="M139" t="str">
        <v>Máquinas Eléctricas 1</v>
      </c>
    </row>
    <row r="140" spans="13:13" x14ac:dyDescent="0.25">
      <c r="M140" t="str">
        <v>Máquinas Eléctricas 2</v>
      </c>
    </row>
    <row r="141" spans="13:13" x14ac:dyDescent="0.25">
      <c r="M141" t="str">
        <v>Máquinas Térmicas, Hidráulicas y de Fluidos</v>
      </c>
    </row>
    <row r="142" spans="13:13" x14ac:dyDescent="0.25">
      <c r="M142" t="str">
        <v>Mecánica Técnica</v>
      </c>
    </row>
    <row r="143" spans="13:13" x14ac:dyDescent="0.25">
      <c r="M143" t="str">
        <v>Organización y Administración de Empresas</v>
      </c>
    </row>
    <row r="144" spans="13:13" x14ac:dyDescent="0.25">
      <c r="M144" t="str">
        <v>Prácticas Profesionales Supervisadas</v>
      </c>
    </row>
    <row r="145" spans="13:54" x14ac:dyDescent="0.25">
      <c r="M145" t="str">
        <v>Probabilidad y Estadística</v>
      </c>
    </row>
    <row r="146" spans="13:54" x14ac:dyDescent="0.25">
      <c r="M146" t="str">
        <v>Proyecto Final</v>
      </c>
    </row>
    <row r="147" spans="13:54" x14ac:dyDescent="0.25">
      <c r="M147" t="str">
        <v>Química General</v>
      </c>
    </row>
    <row r="148" spans="13:54" x14ac:dyDescent="0.25">
      <c r="M148" t="str">
        <v>Seguridad, Riesgo Eléctrico y Ambiente</v>
      </c>
    </row>
    <row r="149" spans="13:54" x14ac:dyDescent="0.25">
      <c r="M149" t="str">
        <v>Sistemas de Potencias</v>
      </c>
    </row>
    <row r="150" spans="13:54" x14ac:dyDescent="0.25">
      <c r="M150" t="str">
        <v>Sistemas de Representación</v>
      </c>
    </row>
    <row r="151" spans="13:54" x14ac:dyDescent="0.25">
      <c r="M151" t="str">
        <v>Taller Interdisciplinario</v>
      </c>
    </row>
    <row r="152" spans="13:54" x14ac:dyDescent="0.25">
      <c r="M152" t="str">
        <v>Tecnología y Ensayo de los Materiales Eléctricos</v>
      </c>
    </row>
    <row r="153" spans="13:54" x14ac:dyDescent="0.25">
      <c r="M153" t="str">
        <v>Teoría de los Campos</v>
      </c>
    </row>
    <row r="154" spans="13:54" x14ac:dyDescent="0.25">
      <c r="M154" t="str">
        <v>Termodinámica</v>
      </c>
    </row>
    <row r="155" spans="13:54" x14ac:dyDescent="0.25">
      <c r="M155" t="str">
        <v>Transmisión de Datos en Sistemas Eléctricos</v>
      </c>
    </row>
    <row r="159" spans="13:54" x14ac:dyDescent="0.25">
      <c r="M159" s="160"/>
      <c r="N159" s="215"/>
      <c r="V159" s="16"/>
      <c r="Y159"/>
      <c r="AX159" s="16"/>
    </row>
    <row r="160" spans="13:54" x14ac:dyDescent="0.25">
      <c r="M160" s="210"/>
      <c r="N160" s="235"/>
      <c r="O160" s="225"/>
      <c r="P160" s="225"/>
      <c r="Q160" s="225"/>
      <c r="R160" s="225"/>
      <c r="S160" s="225"/>
      <c r="T160" s="225"/>
      <c r="U160" s="225"/>
      <c r="V160" s="225"/>
      <c r="W160" s="225"/>
      <c r="X160" s="225"/>
      <c r="Y160" s="225"/>
      <c r="Z160" s="225"/>
      <c r="AA160" s="225"/>
      <c r="AB160" s="21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3:54" x14ac:dyDescent="0.25">
      <c r="M161" s="210"/>
      <c r="N161" s="235"/>
      <c r="O161" s="225"/>
      <c r="P161" s="225"/>
      <c r="Q161" s="225"/>
      <c r="R161" s="225"/>
      <c r="S161" s="225"/>
      <c r="T161" s="225"/>
      <c r="U161" s="225"/>
      <c r="V161" s="225"/>
      <c r="W161" s="225"/>
      <c r="X161" s="225"/>
      <c r="Y161" s="225"/>
      <c r="Z161" s="225"/>
      <c r="AA161" s="225"/>
      <c r="AB161" s="21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3:54" x14ac:dyDescent="0.25">
      <c r="M162" s="210"/>
      <c r="N162" s="235"/>
      <c r="O162" s="225"/>
      <c r="P162" s="225"/>
      <c r="Q162" s="225"/>
      <c r="R162" s="225"/>
      <c r="S162" s="225"/>
      <c r="T162" s="225"/>
      <c r="U162" s="225"/>
      <c r="V162" s="225"/>
      <c r="W162" s="225"/>
      <c r="X162" s="225"/>
      <c r="Y162" s="225"/>
      <c r="Z162" s="225"/>
      <c r="AA162" s="225"/>
      <c r="AB162" s="21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3:54" x14ac:dyDescent="0.25">
      <c r="M163" s="210"/>
      <c r="N163" s="235"/>
      <c r="O163" s="225"/>
      <c r="P163" s="225"/>
      <c r="Q163" s="225"/>
      <c r="R163" s="225"/>
      <c r="S163" s="225"/>
      <c r="T163" s="225"/>
      <c r="U163" s="225"/>
      <c r="V163" s="225"/>
      <c r="W163" s="225"/>
      <c r="X163" s="225"/>
      <c r="Y163" s="225"/>
      <c r="Z163" s="225"/>
      <c r="AA163" s="225"/>
      <c r="AB163" s="21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3:54" x14ac:dyDescent="0.25">
      <c r="M164" s="210"/>
      <c r="N164" s="235"/>
      <c r="O164" s="225"/>
      <c r="P164" s="225"/>
      <c r="Q164" s="225"/>
      <c r="R164" s="225"/>
      <c r="S164" s="225"/>
      <c r="T164" s="225"/>
      <c r="U164" s="225"/>
      <c r="V164" s="225"/>
      <c r="W164" s="225"/>
      <c r="X164" s="225"/>
      <c r="Y164" s="225"/>
      <c r="Z164" s="225"/>
      <c r="AA164" s="225"/>
      <c r="AB164" s="21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3:54" x14ac:dyDescent="0.25">
      <c r="M165" s="236"/>
      <c r="N165" s="237"/>
      <c r="O165" s="225"/>
      <c r="P165" s="225"/>
      <c r="Q165" s="225"/>
      <c r="R165" s="225"/>
      <c r="S165" s="225"/>
      <c r="T165" s="225"/>
      <c r="U165" s="225"/>
      <c r="V165" s="225"/>
      <c r="W165" s="225"/>
      <c r="X165" s="225"/>
      <c r="Y165" s="225"/>
      <c r="Z165" s="225"/>
      <c r="AA165" s="225"/>
      <c r="AB165" s="21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3:54" x14ac:dyDescent="0.25">
      <c r="M166" s="210"/>
      <c r="N166" s="235"/>
      <c r="O166" s="225"/>
      <c r="P166" s="225"/>
      <c r="Q166" s="225"/>
      <c r="R166" s="225"/>
      <c r="S166" s="225"/>
      <c r="T166" s="225"/>
      <c r="U166" s="225"/>
      <c r="V166" s="225"/>
      <c r="W166" s="225"/>
      <c r="X166" s="225"/>
      <c r="Y166" s="225"/>
      <c r="Z166" s="225"/>
      <c r="AA166" s="225"/>
      <c r="AB166" s="21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3:54" x14ac:dyDescent="0.25">
      <c r="M167" s="210"/>
      <c r="N167" s="235"/>
      <c r="O167" s="225"/>
      <c r="P167" s="225"/>
      <c r="Q167" s="225"/>
      <c r="R167" s="225"/>
      <c r="S167" s="225"/>
      <c r="T167" s="225"/>
      <c r="U167" s="225"/>
      <c r="V167" s="225"/>
      <c r="W167" s="225"/>
      <c r="X167" s="225"/>
      <c r="Y167" s="225"/>
      <c r="Z167" s="225"/>
      <c r="AA167" s="225"/>
      <c r="AB167" s="21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3:54" x14ac:dyDescent="0.25">
      <c r="M168" s="210"/>
      <c r="N168" s="235"/>
      <c r="O168" s="225"/>
      <c r="P168" s="225"/>
      <c r="Q168" s="225"/>
      <c r="R168" s="225"/>
      <c r="S168" s="225"/>
      <c r="T168" s="225"/>
      <c r="U168" s="225"/>
      <c r="V168" s="225"/>
      <c r="W168" s="225"/>
      <c r="X168" s="225"/>
      <c r="Y168" s="225"/>
      <c r="Z168" s="225"/>
      <c r="AA168" s="225"/>
      <c r="AB168" s="21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3:54" x14ac:dyDescent="0.25">
      <c r="M169" s="210"/>
      <c r="N169" s="235"/>
      <c r="O169" s="225"/>
      <c r="P169" s="225"/>
      <c r="Q169" s="225"/>
      <c r="R169" s="225"/>
      <c r="S169" s="225"/>
      <c r="T169" s="225"/>
      <c r="U169" s="225"/>
      <c r="V169" s="225"/>
      <c r="W169" s="225"/>
      <c r="X169" s="225"/>
      <c r="Y169" s="225"/>
      <c r="Z169" s="225"/>
      <c r="AA169" s="225"/>
      <c r="AB169" s="21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3:54" x14ac:dyDescent="0.25">
      <c r="M170" s="210"/>
      <c r="N170" s="235"/>
      <c r="O170" s="225"/>
      <c r="P170" s="225"/>
      <c r="Q170" s="225"/>
      <c r="R170" s="225"/>
      <c r="S170" s="225"/>
      <c r="T170" s="225"/>
      <c r="U170" s="225"/>
      <c r="V170" s="225"/>
      <c r="W170" s="225"/>
      <c r="X170" s="225"/>
      <c r="Y170" s="225"/>
      <c r="Z170" s="225"/>
      <c r="AA170" s="225"/>
      <c r="AB170" s="21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3:54" x14ac:dyDescent="0.25">
      <c r="M171" s="210"/>
      <c r="N171" s="235"/>
      <c r="O171" s="225"/>
      <c r="P171" s="225"/>
      <c r="Q171" s="225"/>
      <c r="R171" s="225"/>
      <c r="S171" s="225"/>
      <c r="T171" s="225"/>
      <c r="U171" s="225"/>
      <c r="V171" s="225"/>
      <c r="W171" s="225"/>
      <c r="X171" s="225"/>
      <c r="Y171" s="225"/>
      <c r="Z171" s="225"/>
      <c r="AA171" s="225"/>
      <c r="AB171" s="21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3:54" x14ac:dyDescent="0.25">
      <c r="M172" s="210"/>
      <c r="N172" s="235"/>
      <c r="O172" s="225"/>
      <c r="P172" s="225"/>
      <c r="Q172" s="225"/>
      <c r="R172" s="225"/>
      <c r="S172" s="225"/>
      <c r="T172" s="225"/>
      <c r="U172" s="225"/>
      <c r="V172" s="225"/>
      <c r="W172" s="225"/>
      <c r="X172" s="225"/>
      <c r="Y172" s="225"/>
      <c r="Z172" s="225"/>
      <c r="AA172" s="225"/>
      <c r="AB172" s="216"/>
      <c r="AC172" s="86"/>
      <c r="AD172" s="86"/>
      <c r="AE172" s="86"/>
      <c r="AF172" s="86"/>
      <c r="AG172" s="86"/>
      <c r="AH172" s="86"/>
      <c r="AI172" s="8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3:54" x14ac:dyDescent="0.25">
      <c r="M173" s="210"/>
      <c r="N173" s="235"/>
      <c r="O173" s="225"/>
      <c r="P173" s="225"/>
      <c r="Q173" s="225"/>
      <c r="R173" s="225"/>
      <c r="S173" s="225"/>
      <c r="T173" s="225"/>
      <c r="U173" s="225"/>
      <c r="V173" s="225"/>
      <c r="W173" s="225"/>
      <c r="X173" s="225"/>
      <c r="Y173" s="225"/>
      <c r="Z173" s="225"/>
      <c r="AA173" s="225"/>
      <c r="AB173" s="216"/>
      <c r="AC173" s="186"/>
      <c r="AD173" s="186"/>
      <c r="AE173" s="186"/>
      <c r="AF173" s="186"/>
      <c r="AG173" s="186"/>
      <c r="AH173" s="187"/>
      <c r="AI173" s="186"/>
      <c r="AJ173" s="186"/>
      <c r="AK173" s="186"/>
      <c r="AL173" s="186"/>
      <c r="AM173" s="18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3:54" x14ac:dyDescent="0.25">
      <c r="M174" s="210"/>
      <c r="N174" s="235"/>
      <c r="O174" s="225"/>
      <c r="P174" s="225"/>
      <c r="Q174" s="225"/>
      <c r="R174" s="225"/>
      <c r="S174" s="225"/>
      <c r="T174" s="225"/>
      <c r="U174" s="225"/>
      <c r="V174" s="225"/>
      <c r="W174" s="225"/>
      <c r="X174" s="225"/>
      <c r="Y174" s="225"/>
      <c r="Z174" s="225"/>
      <c r="AA174" s="187"/>
      <c r="AB174" s="216"/>
      <c r="AC174" s="186"/>
      <c r="AD174" s="186"/>
      <c r="AE174" s="186"/>
      <c r="AF174" s="186"/>
      <c r="AG174" s="186"/>
      <c r="AH174" s="186"/>
      <c r="AI174" s="186"/>
      <c r="AJ174" s="186"/>
      <c r="AK174" s="186"/>
      <c r="AL174" s="186"/>
      <c r="AM174" s="186"/>
      <c r="AN174" s="186"/>
      <c r="AO174" s="6"/>
      <c r="AP174" s="225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3:54" x14ac:dyDescent="0.25">
      <c r="M175" s="210"/>
      <c r="N175" s="235"/>
      <c r="O175" s="225"/>
      <c r="P175" s="225"/>
      <c r="Q175" s="225"/>
      <c r="R175" s="225"/>
      <c r="S175" s="225"/>
      <c r="T175" s="225"/>
      <c r="U175" s="225"/>
      <c r="V175" s="225"/>
      <c r="W175" s="225"/>
      <c r="X175" s="225"/>
      <c r="Y175" s="225"/>
      <c r="Z175" s="225"/>
      <c r="AA175" s="187"/>
      <c r="AB175" s="216"/>
      <c r="AC175" s="186"/>
      <c r="AD175" s="186"/>
      <c r="AE175" s="186"/>
      <c r="AF175" s="186"/>
      <c r="AG175" s="186"/>
      <c r="AH175" s="186"/>
      <c r="AI175" s="186"/>
      <c r="AJ175" s="186"/>
      <c r="AK175" s="186"/>
      <c r="AL175" s="186"/>
      <c r="AM175" s="186"/>
      <c r="AN175" s="18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3:54" x14ac:dyDescent="0.25">
      <c r="M176" s="210"/>
      <c r="N176" s="235"/>
      <c r="O176" s="225"/>
      <c r="P176" s="225"/>
      <c r="Q176" s="225"/>
      <c r="R176" s="225"/>
      <c r="S176" s="225"/>
      <c r="T176" s="225"/>
      <c r="U176" s="225"/>
      <c r="V176" s="225"/>
      <c r="W176" s="225"/>
      <c r="X176" s="225"/>
      <c r="Y176" s="225"/>
      <c r="Z176" s="225"/>
      <c r="AA176" s="187"/>
      <c r="AB176" s="216"/>
      <c r="AC176" s="186"/>
      <c r="AD176" s="186"/>
      <c r="AE176" s="186"/>
      <c r="AF176" s="186"/>
      <c r="AG176" s="186"/>
      <c r="AH176" s="186"/>
      <c r="AI176" s="186"/>
      <c r="AJ176" s="186"/>
      <c r="AK176" s="186"/>
      <c r="AL176" s="186"/>
      <c r="AM176" s="186"/>
      <c r="AN176" s="18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3:54" x14ac:dyDescent="0.25">
      <c r="M177" s="210"/>
      <c r="N177" s="235"/>
      <c r="O177" s="225"/>
      <c r="P177" s="225"/>
      <c r="Q177" s="225"/>
      <c r="R177" s="225"/>
      <c r="S177" s="225"/>
      <c r="T177" s="225"/>
      <c r="U177" s="225"/>
      <c r="V177" s="225"/>
      <c r="W177" s="225"/>
      <c r="X177" s="225"/>
      <c r="Y177" s="225"/>
      <c r="Z177" s="225"/>
      <c r="AA177" s="187"/>
      <c r="AB177" s="216"/>
      <c r="AC177" s="186"/>
      <c r="AD177" s="186"/>
      <c r="AE177" s="186"/>
      <c r="AF177" s="186"/>
      <c r="AG177" s="186"/>
      <c r="AH177" s="186"/>
      <c r="AI177" s="186"/>
      <c r="AJ177" s="186"/>
      <c r="AK177" s="186"/>
      <c r="AL177" s="186"/>
      <c r="AM177" s="186"/>
      <c r="AN177" s="18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3:54" x14ac:dyDescent="0.25">
      <c r="M178" s="210"/>
      <c r="N178" s="235"/>
      <c r="O178" s="225"/>
      <c r="P178" s="225"/>
      <c r="Q178" s="225"/>
      <c r="R178" s="225"/>
      <c r="S178" s="225"/>
      <c r="T178" s="225"/>
      <c r="U178" s="225"/>
      <c r="V178" s="225"/>
      <c r="W178" s="225"/>
      <c r="X178" s="225"/>
      <c r="Y178" s="225"/>
      <c r="Z178" s="225"/>
      <c r="AA178" s="225"/>
      <c r="AB178" s="21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3:54" x14ac:dyDescent="0.25">
      <c r="M179" s="209"/>
      <c r="N179" s="216"/>
      <c r="O179" s="6"/>
      <c r="P179" s="6"/>
      <c r="Q179" s="6"/>
      <c r="R179" s="6"/>
      <c r="S179" s="6"/>
      <c r="T179" s="6"/>
      <c r="U179" s="6"/>
      <c r="V179" s="225"/>
      <c r="W179" s="6"/>
      <c r="X179" s="6"/>
      <c r="Y179" s="6"/>
      <c r="Z179" s="6"/>
      <c r="AA179" s="6"/>
      <c r="AB179" s="21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3:54" x14ac:dyDescent="0.25">
      <c r="M180" s="209"/>
      <c r="N180" s="216"/>
      <c r="O180" s="6"/>
      <c r="P180" s="6"/>
      <c r="Q180" s="6"/>
      <c r="R180" s="6"/>
      <c r="S180" s="6"/>
      <c r="T180" s="6"/>
      <c r="U180" s="6"/>
      <c r="V180" s="225"/>
      <c r="W180" s="6"/>
      <c r="X180" s="6"/>
      <c r="Y180" s="6"/>
      <c r="Z180" s="6"/>
      <c r="AA180" s="6"/>
      <c r="AB180" s="21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3:54" x14ac:dyDescent="0.25">
      <c r="M181" s="209"/>
      <c r="N181" s="216"/>
      <c r="O181" s="6"/>
      <c r="P181" s="6"/>
      <c r="Q181" s="6"/>
      <c r="R181" s="6"/>
      <c r="S181" s="6"/>
      <c r="T181" s="6"/>
      <c r="U181" s="6"/>
      <c r="V181" s="225"/>
      <c r="W181" s="6"/>
      <c r="X181" s="6"/>
      <c r="Y181" s="6"/>
      <c r="Z181" s="6"/>
      <c r="AA181" s="6"/>
      <c r="AB181" s="21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3:54" x14ac:dyDescent="0.25">
      <c r="M182" s="209"/>
      <c r="N182" s="216"/>
      <c r="O182" s="6"/>
      <c r="P182" s="6"/>
      <c r="Q182" s="6"/>
      <c r="R182" s="6"/>
      <c r="S182" s="6"/>
      <c r="T182" s="6"/>
      <c r="U182" s="6"/>
      <c r="V182" s="225"/>
      <c r="W182" s="6"/>
      <c r="X182" s="6"/>
      <c r="Y182" s="6"/>
      <c r="Z182" s="6"/>
      <c r="AA182" s="6"/>
      <c r="AB182" s="21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3:54" x14ac:dyDescent="0.25">
      <c r="M183" s="209"/>
      <c r="N183" s="216"/>
      <c r="O183" s="6"/>
      <c r="P183" s="6"/>
      <c r="Q183" s="6"/>
      <c r="R183" s="6"/>
      <c r="S183" s="6"/>
      <c r="T183" s="6"/>
      <c r="U183" s="6"/>
      <c r="V183" s="225"/>
      <c r="W183" s="6"/>
      <c r="X183" s="6"/>
      <c r="Y183" s="6"/>
      <c r="Z183" s="6"/>
      <c r="AA183" s="6"/>
      <c r="AB183" s="21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3:54" x14ac:dyDescent="0.25">
      <c r="M184" s="209"/>
      <c r="N184" s="216"/>
      <c r="O184" s="6"/>
      <c r="P184" s="6"/>
      <c r="Q184" s="6"/>
      <c r="R184" s="6"/>
      <c r="S184" s="6"/>
      <c r="T184" s="6"/>
      <c r="U184" s="6"/>
      <c r="V184" s="225"/>
      <c r="W184" s="6"/>
      <c r="X184" s="6"/>
      <c r="Y184" s="6"/>
      <c r="Z184" s="6"/>
      <c r="AA184" s="6"/>
      <c r="AB184" s="21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3:54" x14ac:dyDescent="0.25">
      <c r="M185" s="209"/>
      <c r="N185" s="216"/>
      <c r="O185" s="6"/>
      <c r="P185" s="6"/>
      <c r="Q185" s="6"/>
      <c r="R185" s="6"/>
      <c r="S185" s="6"/>
      <c r="T185" s="6"/>
      <c r="U185" s="6"/>
      <c r="V185" s="225"/>
      <c r="W185" s="6"/>
      <c r="X185" s="6"/>
      <c r="Y185" s="6"/>
      <c r="Z185" s="6"/>
      <c r="AA185" s="6"/>
      <c r="AB185" s="21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3:54" x14ac:dyDescent="0.25">
      <c r="M186" s="209"/>
      <c r="N186" s="216"/>
      <c r="O186" s="6"/>
      <c r="P186" s="6"/>
      <c r="Q186" s="6"/>
      <c r="R186" s="6"/>
      <c r="S186" s="6"/>
      <c r="T186" s="6"/>
      <c r="U186" s="6"/>
      <c r="V186" s="225"/>
      <c r="W186" s="6"/>
      <c r="X186" s="6"/>
      <c r="Y186" s="6"/>
      <c r="Z186" s="6"/>
      <c r="AA186" s="6"/>
      <c r="AB186" s="21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3:54" x14ac:dyDescent="0.25">
      <c r="M187" s="209"/>
      <c r="N187" s="216"/>
      <c r="O187" s="6"/>
      <c r="P187" s="6"/>
      <c r="Q187" s="6"/>
      <c r="R187" s="6"/>
      <c r="S187" s="6"/>
      <c r="T187" s="6"/>
      <c r="U187" s="6"/>
      <c r="V187" s="225"/>
      <c r="W187" s="6"/>
      <c r="X187" s="6"/>
      <c r="Y187" s="6"/>
      <c r="Z187" s="6"/>
      <c r="AA187" s="6"/>
      <c r="AB187" s="21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3:54" x14ac:dyDescent="0.25">
      <c r="M188" s="209"/>
      <c r="N188" s="216"/>
      <c r="O188" s="6"/>
      <c r="P188" s="6"/>
      <c r="Q188" s="6"/>
      <c r="R188" s="6"/>
      <c r="S188" s="6"/>
      <c r="T188" s="6"/>
      <c r="U188" s="6"/>
      <c r="V188" s="225"/>
      <c r="W188" s="6"/>
      <c r="X188" s="6"/>
      <c r="Y188" s="6"/>
      <c r="Z188" s="6"/>
      <c r="AA188" s="6"/>
      <c r="AB188" s="21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3:54" x14ac:dyDescent="0.25">
      <c r="M189" s="209"/>
      <c r="N189" s="216"/>
      <c r="O189" s="6"/>
      <c r="P189" s="6"/>
      <c r="Q189" s="6"/>
      <c r="R189" s="6"/>
      <c r="S189" s="6"/>
      <c r="T189" s="6"/>
      <c r="U189" s="6"/>
      <c r="V189" s="225"/>
      <c r="W189" s="6"/>
      <c r="X189" s="6"/>
      <c r="Y189" s="6"/>
      <c r="Z189" s="6"/>
      <c r="AA189" s="6"/>
      <c r="AB189" s="21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3:54" x14ac:dyDescent="0.25">
      <c r="M190" s="209"/>
      <c r="N190" s="216"/>
      <c r="O190" s="6"/>
      <c r="P190" s="6"/>
      <c r="Q190" s="6"/>
      <c r="R190" s="6"/>
      <c r="S190" s="6"/>
      <c r="T190" s="6"/>
      <c r="U190" s="6"/>
      <c r="V190" s="225"/>
      <c r="W190" s="6"/>
      <c r="X190" s="6"/>
      <c r="Y190" s="6"/>
      <c r="Z190" s="6"/>
      <c r="AA190" s="6"/>
      <c r="AB190" s="21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3:54" x14ac:dyDescent="0.25">
      <c r="M191" s="209"/>
      <c r="N191" s="216"/>
      <c r="O191" s="6"/>
      <c r="P191" s="6"/>
      <c r="Q191" s="6"/>
      <c r="R191" s="6"/>
      <c r="S191" s="6"/>
      <c r="T191" s="6"/>
      <c r="U191" s="6"/>
      <c r="V191" s="225"/>
      <c r="W191" s="6"/>
      <c r="X191" s="6"/>
      <c r="Y191" s="6"/>
      <c r="Z191" s="6"/>
      <c r="AA191" s="6"/>
      <c r="AB191" s="21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3:54" x14ac:dyDescent="0.25">
      <c r="M192" s="209"/>
      <c r="N192" s="216"/>
      <c r="O192" s="6"/>
      <c r="P192" s="6"/>
      <c r="Q192" s="6"/>
      <c r="R192" s="6"/>
      <c r="S192" s="6"/>
      <c r="T192" s="6"/>
      <c r="U192" s="6"/>
      <c r="V192" s="225"/>
      <c r="W192" s="6"/>
      <c r="X192" s="6"/>
      <c r="Y192" s="6"/>
      <c r="Z192" s="6"/>
      <c r="AA192" s="6"/>
      <c r="AB192" s="21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3:54" x14ac:dyDescent="0.25">
      <c r="M193" s="209"/>
      <c r="N193" s="216"/>
      <c r="O193" s="6"/>
      <c r="P193" s="6"/>
      <c r="Q193" s="6"/>
      <c r="R193" s="6"/>
      <c r="S193" s="6"/>
      <c r="T193" s="6"/>
      <c r="U193" s="6"/>
      <c r="V193" s="225"/>
      <c r="W193" s="6"/>
      <c r="X193" s="6"/>
      <c r="Y193" s="6"/>
      <c r="Z193" s="6"/>
      <c r="AA193" s="6"/>
      <c r="AB193" s="21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3:54" x14ac:dyDescent="0.25">
      <c r="M194" s="209"/>
      <c r="N194" s="216"/>
      <c r="O194" s="6"/>
      <c r="P194" s="6"/>
      <c r="Q194" s="6"/>
      <c r="R194" s="6"/>
      <c r="S194" s="6"/>
      <c r="T194" s="6"/>
      <c r="U194" s="6"/>
      <c r="V194" s="225"/>
      <c r="W194" s="6"/>
      <c r="X194" s="6"/>
      <c r="Y194" s="6"/>
      <c r="Z194" s="6"/>
      <c r="AA194" s="6"/>
      <c r="AB194" s="21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3:54" x14ac:dyDescent="0.25">
      <c r="M195" s="209"/>
      <c r="N195" s="216"/>
      <c r="O195" s="6"/>
      <c r="P195" s="6"/>
      <c r="Q195" s="6"/>
      <c r="R195" s="6"/>
      <c r="S195" s="6"/>
      <c r="T195" s="6"/>
      <c r="U195" s="6"/>
      <c r="V195" s="225"/>
      <c r="W195" s="6"/>
      <c r="X195" s="6"/>
      <c r="Y195" s="6"/>
      <c r="Z195" s="6"/>
      <c r="AA195" s="6"/>
      <c r="AB195" s="21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3:54" x14ac:dyDescent="0.25">
      <c r="M196" s="209"/>
      <c r="N196" s="216"/>
      <c r="O196" s="6"/>
      <c r="P196" s="6"/>
      <c r="Q196" s="6"/>
      <c r="R196" s="6"/>
      <c r="S196" s="6"/>
      <c r="T196" s="6"/>
      <c r="U196" s="6"/>
      <c r="V196" s="225"/>
      <c r="W196" s="6"/>
      <c r="X196" s="6"/>
      <c r="Y196" s="6"/>
      <c r="Z196" s="6"/>
      <c r="AA196" s="6"/>
      <c r="AB196" s="21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3:54" x14ac:dyDescent="0.25">
      <c r="M197" s="209"/>
      <c r="N197" s="216"/>
      <c r="O197" s="6"/>
      <c r="P197" s="6"/>
      <c r="Q197" s="6"/>
      <c r="R197" s="6"/>
      <c r="S197" s="6"/>
      <c r="T197" s="6"/>
      <c r="U197" s="6"/>
      <c r="V197" s="225"/>
      <c r="W197" s="6"/>
      <c r="X197" s="6"/>
      <c r="Y197" s="6"/>
      <c r="Z197" s="6"/>
      <c r="AA197" s="6"/>
      <c r="AB197" s="21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3:54" x14ac:dyDescent="0.25">
      <c r="M198" s="209"/>
      <c r="N198" s="216"/>
      <c r="O198" s="6"/>
      <c r="P198" s="6"/>
      <c r="Q198" s="6"/>
      <c r="R198" s="6"/>
      <c r="S198" s="6"/>
      <c r="T198" s="6"/>
      <c r="U198" s="6"/>
      <c r="V198" s="225"/>
      <c r="W198" s="6"/>
      <c r="X198" s="6"/>
      <c r="Y198" s="6"/>
      <c r="Z198" s="6"/>
      <c r="AA198" s="6"/>
      <c r="AB198" s="21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3:54" x14ac:dyDescent="0.25">
      <c r="M199" s="209"/>
      <c r="N199" s="216"/>
      <c r="O199" s="6"/>
      <c r="P199" s="6"/>
      <c r="Q199" s="6"/>
      <c r="R199" s="6"/>
      <c r="S199" s="6"/>
      <c r="T199" s="6"/>
      <c r="U199" s="6"/>
      <c r="V199" s="225"/>
      <c r="W199" s="6"/>
      <c r="X199" s="6"/>
      <c r="Y199" s="6"/>
      <c r="Z199" s="6"/>
      <c r="AA199" s="6"/>
      <c r="AB199" s="21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3:54" x14ac:dyDescent="0.25">
      <c r="M200" s="209"/>
      <c r="N200" s="216"/>
      <c r="O200" s="6"/>
      <c r="P200" s="6"/>
      <c r="Q200" s="6"/>
      <c r="R200" s="6"/>
      <c r="S200" s="6"/>
      <c r="T200" s="6"/>
      <c r="U200" s="6"/>
      <c r="V200" s="225"/>
      <c r="W200" s="6"/>
      <c r="X200" s="6"/>
      <c r="Y200" s="6"/>
      <c r="Z200" s="6"/>
      <c r="AA200" s="6"/>
      <c r="AB200" s="21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3:54" x14ac:dyDescent="0.25">
      <c r="M201" s="209"/>
      <c r="N201" s="216"/>
      <c r="O201" s="6"/>
      <c r="P201" s="6"/>
      <c r="Q201" s="6"/>
      <c r="R201" s="6"/>
      <c r="S201" s="6"/>
      <c r="T201" s="6"/>
      <c r="U201" s="6"/>
      <c r="V201" s="225"/>
      <c r="W201" s="6"/>
      <c r="X201" s="6"/>
      <c r="Y201" s="6"/>
      <c r="Z201" s="6"/>
      <c r="AA201" s="6"/>
      <c r="AB201" s="21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3:54" ht="15.75" customHeight="1" x14ac:dyDescent="0.25">
      <c r="M202" s="209"/>
      <c r="N202" s="216"/>
      <c r="O202" s="6"/>
      <c r="P202" s="6"/>
      <c r="Q202" s="6"/>
      <c r="R202" s="6"/>
      <c r="S202" s="6"/>
      <c r="T202" s="6"/>
      <c r="U202" s="6"/>
      <c r="V202" s="225"/>
      <c r="W202" s="6"/>
      <c r="X202" s="6"/>
      <c r="Y202" s="6"/>
      <c r="Z202" s="6"/>
      <c r="AA202" s="6"/>
      <c r="AB202" s="21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3:54" x14ac:dyDescent="0.25">
      <c r="M203" s="209"/>
      <c r="N203" s="216"/>
      <c r="O203" s="6"/>
      <c r="P203" s="229"/>
      <c r="Q203" s="229"/>
      <c r="R203" s="6"/>
      <c r="S203" s="6"/>
      <c r="T203" s="6"/>
      <c r="U203" s="6"/>
      <c r="V203" s="225"/>
      <c r="W203" s="6"/>
      <c r="X203" s="6"/>
      <c r="Y203" s="6"/>
      <c r="Z203" s="6"/>
      <c r="AA203" s="6"/>
      <c r="AB203" s="21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3:54" x14ac:dyDescent="0.25">
      <c r="M204" s="209"/>
      <c r="N204" s="216"/>
      <c r="O204" s="229"/>
      <c r="P204" s="6"/>
      <c r="Q204" s="6"/>
      <c r="R204" s="6"/>
      <c r="S204" s="6"/>
      <c r="T204" s="6"/>
      <c r="U204" s="6"/>
      <c r="V204" s="225"/>
      <c r="W204" s="6"/>
      <c r="X204" s="6"/>
      <c r="Y204" s="6"/>
      <c r="Z204" s="6"/>
      <c r="AA204" s="186"/>
      <c r="AB204" s="216"/>
      <c r="AC204" s="186"/>
      <c r="AD204" s="186"/>
      <c r="AE204" s="186"/>
      <c r="AF204" s="186"/>
      <c r="AG204" s="186"/>
      <c r="AH204" s="186"/>
      <c r="AI204" s="186"/>
      <c r="AJ204" s="186"/>
      <c r="AK204" s="186"/>
      <c r="AL204" s="186"/>
      <c r="AM204" s="186"/>
      <c r="AN204" s="18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3:54" x14ac:dyDescent="0.25">
      <c r="M205" s="209"/>
      <c r="N205" s="216"/>
      <c r="O205" s="6"/>
      <c r="P205" s="6"/>
      <c r="Q205" s="6"/>
      <c r="R205" s="6"/>
      <c r="S205" s="6"/>
      <c r="T205" s="6"/>
      <c r="U205" s="6"/>
      <c r="V205" s="225"/>
      <c r="W205" s="6"/>
      <c r="X205" s="6"/>
      <c r="Y205" s="6"/>
      <c r="Z205" s="6"/>
      <c r="AA205" s="186"/>
      <c r="AB205" s="216"/>
      <c r="AC205" s="186"/>
      <c r="AD205" s="186"/>
      <c r="AE205" s="186"/>
      <c r="AF205" s="186"/>
      <c r="AG205" s="186"/>
      <c r="AH205" s="186"/>
      <c r="AI205" s="186"/>
      <c r="AJ205" s="186"/>
      <c r="AK205" s="186"/>
      <c r="AL205" s="186"/>
      <c r="AM205" s="186"/>
      <c r="AN205" s="18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9" spans="14:25" ht="18.75" customHeight="1" x14ac:dyDescent="0.25"/>
    <row r="210" spans="14:25" ht="15.75" customHeight="1" x14ac:dyDescent="0.25"/>
    <row r="214" spans="14:25" x14ac:dyDescent="0.25">
      <c r="O214" s="16"/>
      <c r="P214" s="16"/>
      <c r="Q214" s="16"/>
      <c r="R214" s="16"/>
      <c r="S214" s="16"/>
      <c r="T214" s="16"/>
      <c r="U214" s="16"/>
      <c r="V214" s="16"/>
      <c r="W214" s="16"/>
      <c r="X214" s="16"/>
    </row>
    <row r="215" spans="14:25" x14ac:dyDescent="0.25">
      <c r="N215" s="160"/>
      <c r="O215" s="217"/>
      <c r="P215" s="16"/>
      <c r="Q215" s="16"/>
      <c r="R215" s="16"/>
      <c r="S215" s="16"/>
      <c r="T215" s="16"/>
      <c r="U215" s="16"/>
      <c r="V215" s="16"/>
      <c r="W215" s="16"/>
      <c r="X215" s="16"/>
    </row>
    <row r="216" spans="14:25" x14ac:dyDescent="0.25">
      <c r="N216" s="160"/>
      <c r="O216" s="217"/>
      <c r="P216" s="225"/>
      <c r="Q216" s="225"/>
      <c r="R216" s="225"/>
      <c r="S216" s="225"/>
      <c r="T216" s="225"/>
      <c r="U216" s="225"/>
      <c r="V216" s="225"/>
      <c r="W216" s="225"/>
      <c r="X216" s="225"/>
      <c r="Y216" s="225"/>
    </row>
    <row r="217" spans="14:25" x14ac:dyDescent="0.25">
      <c r="N217" s="160"/>
      <c r="O217" s="217"/>
      <c r="P217" s="225"/>
      <c r="Q217" s="225"/>
      <c r="R217" s="225"/>
      <c r="S217" s="225"/>
      <c r="T217" s="225"/>
      <c r="U217" s="225"/>
      <c r="V217" s="225"/>
      <c r="W217" s="225"/>
      <c r="X217" s="225"/>
      <c r="Y217" s="225"/>
    </row>
    <row r="218" spans="14:25" x14ac:dyDescent="0.25">
      <c r="N218" s="160"/>
      <c r="O218" s="217"/>
      <c r="P218" s="225"/>
      <c r="Q218" s="225"/>
      <c r="R218" s="225"/>
      <c r="S218" s="225"/>
      <c r="T218" s="225"/>
      <c r="U218" s="225"/>
      <c r="V218" s="225"/>
      <c r="W218" s="225"/>
      <c r="X218" s="225"/>
      <c r="Y218" s="225"/>
    </row>
    <row r="219" spans="14:25" x14ac:dyDescent="0.25">
      <c r="N219" s="160"/>
      <c r="O219" s="217"/>
      <c r="P219" s="225"/>
      <c r="Q219" s="225"/>
      <c r="R219" s="225"/>
      <c r="S219" s="225"/>
      <c r="T219" s="225"/>
      <c r="U219" s="225"/>
      <c r="V219" s="225"/>
      <c r="W219" s="225"/>
      <c r="X219" s="225"/>
      <c r="Y219" s="225"/>
    </row>
    <row r="220" spans="14:25" x14ac:dyDescent="0.25">
      <c r="N220" s="160"/>
      <c r="O220" s="217"/>
      <c r="P220" s="225"/>
      <c r="Q220" s="225"/>
      <c r="R220" s="225"/>
      <c r="S220" s="225"/>
      <c r="T220" s="225"/>
      <c r="U220" s="225"/>
      <c r="V220" s="225"/>
      <c r="W220" s="225"/>
      <c r="X220" s="225"/>
      <c r="Y220" s="225"/>
    </row>
    <row r="221" spans="14:25" x14ac:dyDescent="0.25">
      <c r="N221" s="160"/>
      <c r="O221" s="217"/>
      <c r="P221" s="225"/>
      <c r="Q221" s="225"/>
      <c r="R221" s="225"/>
      <c r="S221" s="225"/>
      <c r="T221" s="225"/>
      <c r="U221" s="225"/>
      <c r="V221" s="225"/>
      <c r="W221" s="225"/>
      <c r="X221" s="225"/>
      <c r="Y221" s="225"/>
    </row>
    <row r="222" spans="14:25" x14ac:dyDescent="0.25">
      <c r="O222" s="16"/>
      <c r="P222" s="16"/>
      <c r="Q222" s="16"/>
      <c r="R222" s="16"/>
      <c r="S222" s="16"/>
      <c r="T222" s="226"/>
      <c r="U222" s="218"/>
      <c r="V222" s="225"/>
      <c r="W222" s="225"/>
      <c r="X222" s="225"/>
      <c r="Y222" s="225"/>
    </row>
    <row r="223" spans="14:25" x14ac:dyDescent="0.25">
      <c r="T223" s="52"/>
      <c r="U223" s="215"/>
      <c r="V223" s="6"/>
      <c r="W223" s="6"/>
      <c r="X223" s="6"/>
      <c r="Y223" s="6"/>
    </row>
    <row r="224" spans="14:25" x14ac:dyDescent="0.25">
      <c r="T224" s="52"/>
      <c r="U224" s="215"/>
      <c r="V224" s="6"/>
      <c r="W224" s="6"/>
      <c r="X224" s="6"/>
      <c r="Y224" s="6"/>
    </row>
    <row r="225" spans="20:43" x14ac:dyDescent="0.25">
      <c r="T225" s="52"/>
      <c r="U225" s="215"/>
      <c r="V225" s="6"/>
      <c r="W225" s="6"/>
      <c r="X225" s="6"/>
      <c r="Y225" s="6"/>
    </row>
    <row r="226" spans="20:43" x14ac:dyDescent="0.25">
      <c r="T226" s="52"/>
      <c r="U226" s="215"/>
      <c r="V226" s="6"/>
      <c r="W226" s="6"/>
      <c r="X226" s="6"/>
      <c r="Y226" s="6"/>
    </row>
    <row r="227" spans="20:43" x14ac:dyDescent="0.25">
      <c r="T227" s="52"/>
      <c r="U227" s="215"/>
      <c r="V227" s="6"/>
      <c r="W227" s="6"/>
      <c r="X227" s="6"/>
      <c r="Y227" s="6"/>
    </row>
    <row r="228" spans="20:43" ht="15" customHeight="1" x14ac:dyDescent="0.25">
      <c r="T228" s="52"/>
      <c r="U228" s="215"/>
      <c r="V228" s="6"/>
      <c r="W228" s="6"/>
      <c r="X228" s="6"/>
      <c r="Y228" s="6"/>
    </row>
    <row r="229" spans="20:43" x14ac:dyDescent="0.25">
      <c r="T229" s="52"/>
      <c r="U229" s="215"/>
      <c r="V229" s="6"/>
      <c r="W229" s="6"/>
      <c r="X229" s="6"/>
      <c r="Y229" s="6"/>
    </row>
    <row r="230" spans="20:43" x14ac:dyDescent="0.25">
      <c r="T230" s="52"/>
      <c r="U230" s="215"/>
      <c r="V230" s="6"/>
      <c r="W230" s="6"/>
      <c r="X230" s="6"/>
      <c r="Y230" s="6"/>
    </row>
    <row r="231" spans="20:43" x14ac:dyDescent="0.25">
      <c r="T231" s="52"/>
      <c r="U231" s="215"/>
      <c r="V231" s="6"/>
      <c r="W231" s="6"/>
      <c r="X231" s="6"/>
      <c r="Y231" s="6"/>
    </row>
    <row r="232" spans="20:43" x14ac:dyDescent="0.25">
      <c r="T232" s="52"/>
      <c r="U232" s="215"/>
      <c r="V232" s="6"/>
      <c r="W232" s="6"/>
      <c r="X232" s="6"/>
      <c r="Y232" s="6"/>
      <c r="Z232" s="16"/>
    </row>
    <row r="233" spans="20:43" x14ac:dyDescent="0.25">
      <c r="T233" s="52"/>
      <c r="U233" s="215"/>
      <c r="V233" s="6"/>
      <c r="W233" s="6"/>
      <c r="X233" s="6"/>
      <c r="Y233" s="6"/>
      <c r="Z233" s="16"/>
      <c r="AA233" s="16"/>
      <c r="AB233" s="16"/>
      <c r="AC233" s="16"/>
    </row>
    <row r="234" spans="20:43" x14ac:dyDescent="0.25">
      <c r="T234" s="52"/>
      <c r="U234" s="215"/>
      <c r="V234" s="6"/>
      <c r="W234" s="6"/>
      <c r="X234" s="6"/>
      <c r="Y234" s="6"/>
      <c r="Z234" s="225"/>
      <c r="AA234" s="16"/>
      <c r="AB234" s="16"/>
      <c r="AC234" s="16"/>
      <c r="AN234" s="186"/>
      <c r="AO234" s="186"/>
      <c r="AP234" s="186"/>
      <c r="AQ234" s="186"/>
    </row>
    <row r="235" spans="20:43" x14ac:dyDescent="0.25">
      <c r="T235" s="52"/>
      <c r="U235" s="215"/>
      <c r="V235" s="6"/>
      <c r="W235" s="6"/>
      <c r="X235" s="6"/>
      <c r="Y235" s="6"/>
      <c r="Z235" s="225"/>
      <c r="AA235" s="225"/>
      <c r="AB235" s="187"/>
      <c r="AC235" s="187"/>
      <c r="AD235" s="186"/>
      <c r="AE235" s="186"/>
      <c r="AF235" s="186"/>
      <c r="AG235" s="186"/>
      <c r="AH235" s="186"/>
      <c r="AI235" s="186"/>
      <c r="AJ235" s="186"/>
      <c r="AK235" s="186"/>
      <c r="AL235" s="186"/>
      <c r="AM235" s="186"/>
      <c r="AN235" s="186"/>
      <c r="AO235" s="186"/>
      <c r="AP235" s="186"/>
      <c r="AQ235" s="186"/>
    </row>
    <row r="236" spans="20:43" x14ac:dyDescent="0.25">
      <c r="T236" s="52"/>
      <c r="U236" s="215"/>
      <c r="V236" s="6"/>
      <c r="W236" s="6"/>
      <c r="X236" s="6"/>
      <c r="Y236" s="6"/>
      <c r="Z236" s="225"/>
      <c r="AA236" s="225"/>
      <c r="AB236" s="187"/>
      <c r="AC236" s="187"/>
      <c r="AD236" s="186"/>
      <c r="AE236" s="186"/>
      <c r="AF236" s="186"/>
      <c r="AG236" s="186"/>
      <c r="AH236" s="186"/>
      <c r="AI236" s="186"/>
      <c r="AJ236" s="186"/>
      <c r="AK236" s="186"/>
      <c r="AL236" s="186"/>
      <c r="AM236" s="186"/>
      <c r="AN236" s="186"/>
      <c r="AO236" s="186"/>
      <c r="AP236" s="186"/>
      <c r="AQ236" s="186"/>
    </row>
    <row r="237" spans="20:43" x14ac:dyDescent="0.25">
      <c r="T237" s="52"/>
      <c r="U237" s="215"/>
      <c r="V237" s="6"/>
      <c r="W237" s="6"/>
      <c r="X237" s="6"/>
      <c r="Y237" s="6"/>
      <c r="Z237" s="225"/>
      <c r="AA237" s="225"/>
      <c r="AB237" s="187"/>
      <c r="AC237" s="187"/>
      <c r="AD237" s="186"/>
      <c r="AE237" s="186"/>
      <c r="AF237" s="186"/>
      <c r="AG237" s="186"/>
      <c r="AH237" s="186"/>
      <c r="AI237" s="186"/>
      <c r="AJ237" s="186"/>
      <c r="AK237" s="186"/>
      <c r="AL237" s="186"/>
      <c r="AM237" s="186"/>
      <c r="AN237" s="186"/>
      <c r="AO237" s="186"/>
      <c r="AP237" s="186"/>
      <c r="AQ237" s="186"/>
    </row>
    <row r="238" spans="20:43" x14ac:dyDescent="0.25">
      <c r="T238" s="52"/>
      <c r="U238" s="215"/>
      <c r="V238" s="6"/>
      <c r="W238" s="6"/>
      <c r="X238" s="6"/>
      <c r="Y238" s="6"/>
      <c r="Z238" s="225"/>
      <c r="AA238" s="225"/>
      <c r="AB238" s="187"/>
      <c r="AC238" s="187"/>
      <c r="AD238" s="186"/>
      <c r="AE238" s="186"/>
      <c r="AF238" s="186"/>
      <c r="AG238" s="186"/>
      <c r="AH238" s="186"/>
      <c r="AI238" s="186"/>
      <c r="AJ238" s="186"/>
      <c r="AK238" s="186"/>
      <c r="AL238" s="186"/>
      <c r="AM238" s="186"/>
      <c r="AN238" s="186"/>
      <c r="AO238" s="186"/>
      <c r="AP238" s="186"/>
      <c r="AQ238" s="186"/>
    </row>
    <row r="239" spans="20:43" x14ac:dyDescent="0.25">
      <c r="T239" s="52"/>
      <c r="U239" s="215"/>
      <c r="V239" s="6"/>
      <c r="W239" s="6"/>
      <c r="X239" s="6"/>
      <c r="Y239" s="6"/>
      <c r="Z239" s="225"/>
      <c r="AA239" s="225"/>
      <c r="AB239" s="187"/>
      <c r="AC239" s="187"/>
      <c r="AD239" s="186"/>
      <c r="AE239" s="186"/>
      <c r="AF239" s="186"/>
      <c r="AG239" s="186"/>
      <c r="AH239" s="186"/>
      <c r="AI239" s="186"/>
      <c r="AJ239" s="186"/>
      <c r="AK239" s="186"/>
      <c r="AL239" s="186"/>
      <c r="AM239" s="186"/>
      <c r="AN239" s="186"/>
      <c r="AO239" s="186"/>
      <c r="AP239" s="186"/>
      <c r="AQ239" s="186"/>
    </row>
    <row r="240" spans="20:43" x14ac:dyDescent="0.25">
      <c r="T240" s="52"/>
      <c r="U240" s="215"/>
      <c r="V240" s="6"/>
      <c r="W240" s="6"/>
      <c r="X240" s="6"/>
      <c r="Y240" s="6"/>
      <c r="Z240" s="225"/>
      <c r="AA240" s="225"/>
      <c r="AB240" s="187"/>
      <c r="AC240" s="187"/>
      <c r="AD240" s="186"/>
      <c r="AE240" s="186"/>
      <c r="AF240" s="186"/>
      <c r="AG240" s="186"/>
      <c r="AH240" s="186"/>
      <c r="AI240" s="186"/>
      <c r="AJ240" s="186"/>
      <c r="AK240" s="186"/>
      <c r="AL240" s="186"/>
      <c r="AM240" s="186"/>
    </row>
    <row r="241" spans="20:33" x14ac:dyDescent="0.25">
      <c r="T241" s="52"/>
      <c r="U241" s="215"/>
      <c r="V241" s="6"/>
      <c r="W241" s="6"/>
      <c r="X241" s="6"/>
      <c r="Y241" s="6"/>
      <c r="Z241" s="6"/>
      <c r="AA241" s="225"/>
      <c r="AB241" s="225"/>
      <c r="AC241" s="225"/>
      <c r="AD241" s="6"/>
      <c r="AE241" s="6"/>
      <c r="AF241" s="6"/>
      <c r="AG241" s="6"/>
    </row>
    <row r="242" spans="20:33" x14ac:dyDescent="0.25">
      <c r="T242" s="52"/>
      <c r="U242" s="215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</row>
    <row r="243" spans="20:33" x14ac:dyDescent="0.25">
      <c r="T243" s="52"/>
      <c r="U243" s="215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</row>
    <row r="244" spans="20:33" x14ac:dyDescent="0.25">
      <c r="T244" s="52"/>
      <c r="U244" s="215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</row>
    <row r="245" spans="20:33" x14ac:dyDescent="0.25">
      <c r="T245" s="52"/>
      <c r="U245" s="215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</row>
    <row r="246" spans="20:33" x14ac:dyDescent="0.25">
      <c r="T246" s="52"/>
      <c r="U246" s="215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</row>
    <row r="247" spans="20:33" x14ac:dyDescent="0.25">
      <c r="T247" s="52"/>
      <c r="U247" s="21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</row>
    <row r="248" spans="20:33" x14ac:dyDescent="0.25">
      <c r="T248" s="52"/>
      <c r="U248" s="21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</row>
    <row r="249" spans="20:33" x14ac:dyDescent="0.25">
      <c r="T249" s="52"/>
      <c r="U249" s="215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</row>
    <row r="250" spans="20:33" x14ac:dyDescent="0.25">
      <c r="T250" s="52"/>
      <c r="U250" s="215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</row>
    <row r="251" spans="20:33" x14ac:dyDescent="0.25">
      <c r="T251" s="52"/>
      <c r="U251" s="215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</row>
    <row r="252" spans="20:33" x14ac:dyDescent="0.25">
      <c r="T252" s="52"/>
      <c r="U252" s="215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</row>
    <row r="253" spans="20:33" x14ac:dyDescent="0.25">
      <c r="T253" s="52"/>
      <c r="U253" s="215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</row>
    <row r="254" spans="20:33" x14ac:dyDescent="0.25">
      <c r="T254" s="52"/>
      <c r="U254" s="215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</row>
    <row r="255" spans="20:33" x14ac:dyDescent="0.25">
      <c r="T255" s="52"/>
      <c r="U255" s="215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</row>
    <row r="256" spans="20:33" x14ac:dyDescent="0.25">
      <c r="T256" s="52"/>
      <c r="U256" s="215"/>
      <c r="V256" s="59"/>
      <c r="W256" s="59"/>
      <c r="X256" s="59"/>
      <c r="Y256" s="59"/>
      <c r="Z256" s="6"/>
      <c r="AA256" s="6"/>
      <c r="AB256" s="6"/>
      <c r="AC256" s="6"/>
      <c r="AD256" s="6"/>
      <c r="AE256" s="6"/>
      <c r="AF256" s="6"/>
      <c r="AG256" s="6"/>
    </row>
    <row r="257" spans="20:33" x14ac:dyDescent="0.25">
      <c r="T257" s="52"/>
      <c r="U257" s="215"/>
      <c r="V257" s="186"/>
      <c r="W257" s="186"/>
      <c r="X257" s="186"/>
      <c r="Y257" s="186"/>
      <c r="Z257" s="6"/>
      <c r="AA257" s="6"/>
      <c r="AB257" s="6"/>
      <c r="AC257" s="6"/>
      <c r="AD257" s="6"/>
      <c r="AE257" s="6"/>
      <c r="AF257" s="6"/>
      <c r="AG257" s="6"/>
    </row>
    <row r="258" spans="20:33" x14ac:dyDescent="0.25">
      <c r="Z258" s="6"/>
      <c r="AA258" s="6"/>
      <c r="AB258" s="6"/>
      <c r="AC258" s="6"/>
      <c r="AD258" s="6"/>
      <c r="AE258" s="6"/>
      <c r="AF258" s="6"/>
      <c r="AG258" s="6"/>
    </row>
    <row r="259" spans="20:33" x14ac:dyDescent="0.25">
      <c r="Y259"/>
      <c r="Z259" s="6"/>
      <c r="AA259" s="6"/>
      <c r="AB259" s="6"/>
      <c r="AC259" s="6"/>
      <c r="AD259" s="6"/>
      <c r="AE259" s="6"/>
      <c r="AF259" s="6"/>
      <c r="AG259" s="6"/>
    </row>
    <row r="260" spans="20:33" x14ac:dyDescent="0.25">
      <c r="Z260" s="6"/>
      <c r="AA260" s="6"/>
      <c r="AB260" s="6"/>
      <c r="AC260" s="6"/>
      <c r="AD260" s="6"/>
      <c r="AE260" s="6"/>
      <c r="AF260" s="6"/>
      <c r="AG260" s="6"/>
    </row>
    <row r="261" spans="20:33" x14ac:dyDescent="0.25">
      <c r="Z261" s="6"/>
      <c r="AA261" s="6"/>
      <c r="AB261" s="6"/>
      <c r="AC261" s="6"/>
      <c r="AD261" s="6"/>
      <c r="AE261" s="6"/>
      <c r="AF261" s="6"/>
      <c r="AG261" s="6"/>
    </row>
    <row r="262" spans="20:33" x14ac:dyDescent="0.25">
      <c r="Z262" s="6"/>
      <c r="AA262" s="6"/>
      <c r="AB262" s="6"/>
      <c r="AC262" s="6"/>
      <c r="AD262" s="6"/>
      <c r="AE262" s="6"/>
      <c r="AF262" s="6"/>
      <c r="AG262" s="6"/>
    </row>
    <row r="263" spans="20:33" x14ac:dyDescent="0.25">
      <c r="Z263" s="6"/>
      <c r="AA263" s="6"/>
      <c r="AB263" s="6"/>
      <c r="AC263" s="6"/>
      <c r="AD263" s="6"/>
      <c r="AE263" s="6"/>
      <c r="AF263" s="6"/>
      <c r="AG263" s="6"/>
    </row>
    <row r="264" spans="20:33" x14ac:dyDescent="0.25">
      <c r="Z264" s="6"/>
      <c r="AA264" s="6"/>
      <c r="AB264" s="6"/>
      <c r="AC264" s="6"/>
      <c r="AD264" s="6"/>
      <c r="AE264" s="6"/>
      <c r="AF264" s="6"/>
      <c r="AG264" s="6"/>
    </row>
    <row r="265" spans="20:33" x14ac:dyDescent="0.25">
      <c r="Z265" s="6"/>
      <c r="AA265" s="6"/>
      <c r="AB265" s="6"/>
      <c r="AC265" s="6"/>
      <c r="AD265" s="6"/>
      <c r="AE265" s="6"/>
      <c r="AF265" s="6"/>
      <c r="AG265" s="6"/>
    </row>
    <row r="266" spans="20:33" x14ac:dyDescent="0.25">
      <c r="Z266" s="6"/>
      <c r="AA266" s="6"/>
      <c r="AB266" s="6"/>
      <c r="AC266" s="6"/>
      <c r="AD266" s="6"/>
      <c r="AE266" s="6"/>
      <c r="AF266" s="6"/>
      <c r="AG266" s="6"/>
    </row>
    <row r="267" spans="20:33" x14ac:dyDescent="0.25">
      <c r="Z267" s="6"/>
      <c r="AA267" s="6"/>
      <c r="AB267" s="6"/>
      <c r="AC267" s="6"/>
      <c r="AD267" s="6"/>
      <c r="AE267" s="6"/>
      <c r="AF267" s="6"/>
      <c r="AG267" s="6"/>
    </row>
    <row r="268" spans="20:33" x14ac:dyDescent="0.25">
      <c r="Z268" s="6"/>
      <c r="AA268" s="6"/>
      <c r="AB268" s="6"/>
      <c r="AC268" s="6"/>
      <c r="AD268" s="6"/>
      <c r="AE268" s="6"/>
      <c r="AF268" s="6"/>
      <c r="AG268" s="6"/>
    </row>
    <row r="269" spans="20:33" x14ac:dyDescent="0.25">
      <c r="Z269" s="6"/>
      <c r="AA269" s="6"/>
      <c r="AB269" s="6"/>
      <c r="AC269" s="6"/>
      <c r="AD269" s="6"/>
      <c r="AE269" s="6"/>
      <c r="AF269" s="6"/>
      <c r="AG269" s="6"/>
    </row>
    <row r="270" spans="20:33" x14ac:dyDescent="0.25">
      <c r="Z270" s="6"/>
      <c r="AA270" s="6"/>
      <c r="AB270" s="6"/>
      <c r="AC270" s="6"/>
      <c r="AD270" s="6"/>
      <c r="AE270" s="6"/>
      <c r="AF270" s="6"/>
      <c r="AG270" s="6"/>
    </row>
    <row r="271" spans="20:33" x14ac:dyDescent="0.25">
      <c r="Z271" s="6"/>
      <c r="AA271" s="6"/>
      <c r="AB271" s="6"/>
      <c r="AC271" s="6"/>
      <c r="AD271" s="6"/>
      <c r="AE271" s="6"/>
      <c r="AF271" s="6"/>
      <c r="AG271" s="6"/>
    </row>
    <row r="272" spans="20:33" x14ac:dyDescent="0.25">
      <c r="Z272" s="6"/>
      <c r="AA272" s="6"/>
      <c r="AB272" s="6"/>
      <c r="AC272" s="6"/>
      <c r="AD272" s="6"/>
      <c r="AE272" s="6"/>
      <c r="AF272" s="6"/>
      <c r="AG272" s="6"/>
    </row>
    <row r="273" spans="26:33" x14ac:dyDescent="0.25">
      <c r="Z273" s="6"/>
      <c r="AA273" s="6"/>
      <c r="AB273" s="6"/>
      <c r="AC273" s="6"/>
      <c r="AD273" s="6"/>
      <c r="AE273" s="6"/>
      <c r="AF273" s="6"/>
      <c r="AG273" s="6"/>
    </row>
    <row r="274" spans="26:33" x14ac:dyDescent="0.25">
      <c r="Z274" s="59"/>
      <c r="AA274" s="6"/>
      <c r="AB274" s="6"/>
      <c r="AC274" s="6"/>
      <c r="AD274" s="6"/>
      <c r="AE274" s="6"/>
      <c r="AF274" s="6"/>
      <c r="AG274" s="6"/>
    </row>
    <row r="275" spans="26:33" x14ac:dyDescent="0.25">
      <c r="Z275" s="186"/>
      <c r="AA275" s="59"/>
      <c r="AB275" s="59"/>
      <c r="AC275" s="6"/>
      <c r="AD275" s="6"/>
      <c r="AE275" s="6"/>
      <c r="AF275" s="6"/>
      <c r="AG275" s="6"/>
    </row>
    <row r="276" spans="26:33" x14ac:dyDescent="0.25">
      <c r="AA276" s="187"/>
      <c r="AB276" s="186"/>
      <c r="AC276" s="186"/>
      <c r="AD276" s="186"/>
      <c r="AE276" s="186"/>
      <c r="AF276" s="186"/>
      <c r="AG276" s="6"/>
    </row>
  </sheetData>
  <sheetProtection sort="0" autoFilter="0"/>
  <mergeCells count="19">
    <mergeCell ref="G6:H6"/>
    <mergeCell ref="B30:C30"/>
    <mergeCell ref="B11:E13"/>
    <mergeCell ref="B2:E4"/>
    <mergeCell ref="I15:J16"/>
    <mergeCell ref="D15:E16"/>
    <mergeCell ref="D27:E28"/>
    <mergeCell ref="G11:J13"/>
    <mergeCell ref="B23:E25"/>
    <mergeCell ref="G2:J4"/>
    <mergeCell ref="I9:J9"/>
    <mergeCell ref="I6:J6"/>
    <mergeCell ref="G23:H25"/>
    <mergeCell ref="I23:J25"/>
    <mergeCell ref="I7:J7"/>
    <mergeCell ref="I8:J8"/>
    <mergeCell ref="G7:H7"/>
    <mergeCell ref="G8:H8"/>
    <mergeCell ref="G9:H9"/>
  </mergeCells>
  <phoneticPr fontId="8" type="noConversion"/>
  <conditionalFormatting sqref="D15">
    <cfRule type="colorScale" priority="7">
      <colorScale>
        <cfvo type="num" val="0"/>
        <cfvo type="num" val="14"/>
        <cfvo type="num" val="28"/>
        <color theme="9"/>
        <color rgb="FFFFEB84"/>
        <color rgb="FFF30B11"/>
      </colorScale>
    </cfRule>
  </conditionalFormatting>
  <conditionalFormatting sqref="I15">
    <cfRule type="colorScale" priority="9">
      <colorScale>
        <cfvo type="num" val="0"/>
        <cfvo type="num" val="21"/>
        <cfvo type="num" val="42"/>
        <color theme="9"/>
        <color rgb="FFFFEB84"/>
        <color rgb="FFF30B11"/>
      </colorScale>
    </cfRule>
  </conditionalFormatting>
  <conditionalFormatting sqref="I6">
    <cfRule type="colorScale" priority="4">
      <colorScale>
        <cfvo type="num" val="0"/>
        <cfvo type="num" val="5"/>
        <cfvo type="num" val="10"/>
        <color rgb="FFF30B11"/>
        <color rgb="FFFFEB84"/>
        <color theme="9"/>
      </colorScale>
    </cfRule>
  </conditionalFormatting>
  <conditionalFormatting sqref="B32:B34 B19:B21 G19:G21">
    <cfRule type="iconSet" priority="195">
      <iconSet iconSet="3Symbols2" showValue="0">
        <cfvo type="percent" val="0"/>
        <cfvo type="num" val="1"/>
        <cfvo type="num" val="2"/>
      </iconSet>
    </cfRule>
  </conditionalFormatting>
  <conditionalFormatting sqref="P3">
    <cfRule type="iconSet" priority="2">
      <iconSet iconSet="3Symbols2" showValue="0">
        <cfvo type="percent" val="0"/>
        <cfvo type="num" val="1"/>
        <cfvo type="num" val="2"/>
      </iconSet>
    </cfRule>
  </conditionalFormatting>
  <conditionalFormatting sqref="P4">
    <cfRule type="iconSet" priority="290">
      <iconSet iconSet="3Symbols2" showValue="0">
        <cfvo type="percent" val="0"/>
        <cfvo type="num" val="1"/>
        <cfvo type="num" val="2"/>
      </iconSet>
    </cfRule>
  </conditionalFormatting>
  <conditionalFormatting sqref="B7:B9">
    <cfRule type="iconSet" priority="1">
      <iconSet iconSet="3Symbols2" showValue="0">
        <cfvo type="percent" val="0"/>
        <cfvo type="num" val="1"/>
        <cfvo type="num" val="2"/>
      </iconSet>
    </cfRule>
  </conditionalFormatting>
  <dataValidations count="6">
    <dataValidation allowBlank="1" showInputMessage="1" showErrorMessage="1" promptTitle="Id. de empleado" prompt="Escriba un id. único para cada empleado." sqref="B48" xr:uid="{42AC6862-DDC3-446A-86A6-343ABF984E2C}"/>
    <dataValidation allowBlank="1" showInputMessage="1" showErrorMessage="1" promptTitle="Título" prompt="Se mostrará el cargo o rol del empleado en la forma." sqref="D48" xr:uid="{94D2954F-AEBE-4B33-AC05-529B2F55D164}"/>
    <dataValidation allowBlank="1" showInputMessage="1" showErrorMessage="1" promptTitle="Id. de administrador" prompt="Especifique el identificador de empleado del administrador. Este identificador debe estar presente en la columna de ID de empleado." sqref="E47" xr:uid="{1FBE312D-2A67-423B-8A9B-2A25BF4416F1}"/>
    <dataValidation allowBlank="1" showInputMessage="1" showErrorMessage="1" promptTitle="Tipo de rol" prompt="Elija la función que mejor represente al empleado. Esto cambia el color de la forma." sqref="F48" xr:uid="{D1A2C0C7-7C46-4F1F-BD66-12E683D1259A}"/>
    <dataValidation type="list" allowBlank="1" showInputMessage="1" sqref="F47" xr:uid="{7FCA5312-155A-4DC1-8A18-CA82A6DC1232}">
      <formula1>"Proceso, Decisión, Subproceso, Iniciar, Fin, Documento, Datos, Base de datos, Datos externos, Referencia en página, Referencia a otra página, Personalizado 1, Personalizado 2, Personalizado 3, Personalizado 4"</formula1>
    </dataValidation>
    <dataValidation type="list" allowBlank="1" showInputMessage="1" sqref="F47" xr:uid="{FF2E56C7-8A37-4CDB-8630-3B72767BB7D2}">
      <formula1>"Ejecutivo, Administrador, Posición, Asistente, Plantilla, Consultor, Vacante"</formula1>
    </dataValidation>
  </dataValidation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45450F-F3FB-4642-89F2-E54C439B30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Plan de Estudio</vt:lpstr>
      <vt:lpstr>Control</vt:lpstr>
      <vt:lpstr>_anio_ingreso</vt:lpstr>
      <vt:lpstr>_cmb_lista_materias</vt:lpstr>
      <vt:lpstr>_excepcion</vt:lpstr>
      <vt:lpstr>_Tabla_Materias</vt:lpstr>
      <vt:lpstr>_tabla_tipo_materia</vt:lpstr>
      <vt:lpstr>Modalidades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 Benicio Charra Marquez</dc:creator>
  <cp:lastModifiedBy>Giuliano Benicio Charra Marquez</cp:lastModifiedBy>
  <cp:lastPrinted>2025-03-10T03:55:52Z</cp:lastPrinted>
  <dcterms:created xsi:type="dcterms:W3CDTF">2015-06-05T18:19:34Z</dcterms:created>
  <dcterms:modified xsi:type="dcterms:W3CDTF">2025-04-13T03:23:18Z</dcterms:modified>
</cp:coreProperties>
</file>