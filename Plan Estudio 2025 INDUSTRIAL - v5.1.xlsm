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slicers/slicer1.xml" ContentType="application/vnd.ms-excel.slicer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G:\Mi unidad\Facultad\Excel\"/>
    </mc:Choice>
  </mc:AlternateContent>
  <xr:revisionPtr revIDLastSave="0" documentId="13_ncr:1_{66878685-4D15-411E-8077-FBF2B2500DE4}" xr6:coauthVersionLast="47" xr6:coauthVersionMax="47" xr10:uidLastSave="{00000000-0000-0000-0000-000000000000}"/>
  <workbookProtection workbookAlgorithmName="SHA-512" workbookHashValue="DWZ/LnIjOHOTXshhL2B16qP8n2URaG8NX4j/YN0CUZr9FRapNG5E93dOgUL2oun/sMazTImAYEf/pZAFc+iX1w==" workbookSaltValue="yqznX/7kOXcmaln6trYzuw==" workbookSpinCount="100000" lockStructure="1"/>
  <bookViews>
    <workbookView showSheetTabs="0" xWindow="-120" yWindow="-120" windowWidth="38640" windowHeight="15990" xr2:uid="{00000000-000D-0000-FFFF-FFFF00000000}"/>
  </bookViews>
  <sheets>
    <sheet name="Plan de Estudio" sheetId="1" r:id="rId1"/>
    <sheet name="Control" sheetId="2" state="hidden" r:id="rId2"/>
  </sheets>
  <functionGroups builtInGroupCount="19"/>
  <definedNames>
    <definedName name="_anio_ingreso">'Plan de Estudio'!$Q$4</definedName>
    <definedName name="_cmb_lista_materias">Control!$M$113</definedName>
    <definedName name="_excepcion">'Plan de Estudio'!$J$9</definedName>
    <definedName name="_Tabla_Materias">Tabla1[]</definedName>
    <definedName name="_tabla_tipo_materia">Tabla3[Tipo]</definedName>
    <definedName name="_xlpm.anioIngreso" hidden="1" xlm="1">#NAME?</definedName>
    <definedName name="_xlpm.apr_1" hidden="1" xlm="1">#NAME?</definedName>
    <definedName name="_xlpm.apr_2" hidden="1" xlm="1">#NAME?</definedName>
    <definedName name="_xlpm.apr_3" hidden="1" xlm="1">#NAME?</definedName>
    <definedName name="_xlpm.apr_4" hidden="1" xlm="1">#NAME?</definedName>
    <definedName name="_xlpm.codigoMateria" hidden="1" xlm="1">#NAME?</definedName>
    <definedName name="_xlpm.columnaBase" hidden="1" xlm="1">#NAME?</definedName>
    <definedName name="_xlpm.columnaRelativa" hidden="1" xlm="1">#NAME?</definedName>
    <definedName name="_xlpm.cumpleRequisitos" hidden="1" xlm="1">#NAME?</definedName>
    <definedName name="_xlpm.EsRequisitoCumplido" hidden="1" xlm="1">#NAME?</definedName>
    <definedName name="_xlpm.estado" hidden="1" xlm="1">#NAME?</definedName>
    <definedName name="_xlpm.excepcion" hidden="1" xlm="1">#NAME?</definedName>
    <definedName name="_xlpm.filterCriteria" hidden="1" xlm="1">#NAME?</definedName>
    <definedName name="_xlpm.filteredRange" hidden="1" xlm="1">#NAME?</definedName>
    <definedName name="_xlpm.iconoEncontrado" hidden="1" xlm="1">#NAME?</definedName>
    <definedName name="_xlpm.num" hidden="1" xlm="1">#NAME?</definedName>
    <definedName name="_xlpm.pepe" hidden="1" xlm="1">#NAME?</definedName>
    <definedName name="_xlpm.reg" hidden="1" xlm="1">#NAME?</definedName>
    <definedName name="_xlpm.reg_" hidden="1" xlm="1">#NAME?</definedName>
    <definedName name="_xlpm.reg_1" hidden="1" xlm="1">#NAME?</definedName>
    <definedName name="_xlpm.reg_2" hidden="1" xlm="1">#NAME?</definedName>
    <definedName name="_xlpm.reg_3" hidden="1" xlm="1">#NAME?</definedName>
    <definedName name="_xlpm.reg_4" hidden="1" xlm="1">#NAME?</definedName>
    <definedName name="_xlpm.resultado" hidden="1" xlm="1">#NAME?</definedName>
    <definedName name="_xlpm.tabla" hidden="1" xlm="1">#NAME?</definedName>
    <definedName name="_xlpm.tablaCorrelativas" hidden="1" xlm="1">#NAME?</definedName>
    <definedName name="_xlpm.x" hidden="1" xlm="1">#NAME?</definedName>
    <definedName name="DatosExternos_3" localSheetId="1" hidden="1">Control!#REF!</definedName>
    <definedName name="DatosExternos_4" localSheetId="1" hidden="1">Control!#REF!</definedName>
    <definedName name="Modalidades">Tabla2[Modalidades]</definedName>
    <definedName name="SegmentaciónDeDatos_Cursar">#N/A</definedName>
    <definedName name="SegmentaciónDeDatos_Electiva">#N/A</definedName>
    <definedName name="SegmentaciónDeDatos_Estado">#N/A</definedName>
    <definedName name="SegmentaciónDeDatos_Modalidad">#N/A</definedName>
    <definedName name="SegmentaciónDeDatos_NIVEL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3"/>
        <x14:slicerCache r:id="rId4"/>
        <x14:slicerCache r:id="rId5"/>
        <x14:slicerCache r:id="rId6"/>
        <x14:slicerCache r:id="rId7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8" i="2" l="1"/>
  <c r="F62" i="1"/>
  <c r="F63" i="1"/>
  <c r="F64" i="1"/>
  <c r="F65" i="1"/>
  <c r="F66" i="1"/>
  <c r="N62" i="1"/>
  <c r="N63" i="1"/>
  <c r="N64" i="1"/>
  <c r="N65" i="1"/>
  <c r="N66" i="1"/>
  <c r="O62" i="1"/>
  <c r="O63" i="1"/>
  <c r="O64" i="1"/>
  <c r="O65" i="1"/>
  <c r="O66" i="1"/>
  <c r="P62" i="1"/>
  <c r="P63" i="1"/>
  <c r="P64" i="1"/>
  <c r="P65" i="1"/>
  <c r="P66" i="1"/>
  <c r="Q62" i="1"/>
  <c r="Q63" i="1"/>
  <c r="Q64" i="1"/>
  <c r="Q65" i="1"/>
  <c r="Q66" i="1"/>
  <c r="R62" i="1"/>
  <c r="R63" i="1"/>
  <c r="R64" i="1"/>
  <c r="R65" i="1"/>
  <c r="R66" i="1"/>
  <c r="S62" i="1"/>
  <c r="S63" i="1"/>
  <c r="S64" i="1"/>
  <c r="S65" i="1"/>
  <c r="S66" i="1"/>
  <c r="T62" i="1"/>
  <c r="T63" i="1"/>
  <c r="T64" i="1"/>
  <c r="T65" i="1"/>
  <c r="T66" i="1"/>
  <c r="U62" i="1"/>
  <c r="U63" i="1"/>
  <c r="U64" i="1"/>
  <c r="U65" i="1"/>
  <c r="U66" i="1"/>
  <c r="V62" i="1"/>
  <c r="V63" i="1"/>
  <c r="V64" i="1"/>
  <c r="V65" i="1"/>
  <c r="V66" i="1"/>
  <c r="W62" i="1"/>
  <c r="W63" i="1"/>
  <c r="W64" i="1"/>
  <c r="W65" i="1"/>
  <c r="W66" i="1"/>
  <c r="X62" i="1"/>
  <c r="X63" i="1"/>
  <c r="X64" i="1"/>
  <c r="X65" i="1"/>
  <c r="X66" i="1"/>
  <c r="Y62" i="1"/>
  <c r="Y63" i="1"/>
  <c r="Y64" i="1"/>
  <c r="Y65" i="1"/>
  <c r="Y66" i="1"/>
  <c r="Z62" i="1"/>
  <c r="Z63" i="1"/>
  <c r="Z64" i="1"/>
  <c r="Z65" i="1"/>
  <c r="Z66" i="1"/>
  <c r="AA62" i="1"/>
  <c r="AA63" i="1"/>
  <c r="AA64" i="1"/>
  <c r="AA65" i="1"/>
  <c r="AA66" i="1"/>
  <c r="AB62" i="1"/>
  <c r="AB63" i="1"/>
  <c r="AB64" i="1"/>
  <c r="AB65" i="1"/>
  <c r="AB66" i="1"/>
  <c r="AC66" i="1" l="1"/>
  <c r="AC63" i="1"/>
  <c r="AC64" i="1"/>
  <c r="AC62" i="1"/>
  <c r="AC65" i="1"/>
  <c r="AA61" i="1" l="1"/>
  <c r="AA60" i="1"/>
  <c r="AA59" i="1"/>
  <c r="AA58" i="1"/>
  <c r="AA57" i="1"/>
  <c r="AA56" i="1"/>
  <c r="AA55" i="1"/>
  <c r="AA54" i="1"/>
  <c r="AA53" i="1"/>
  <c r="AA52" i="1"/>
  <c r="AA51" i="1"/>
  <c r="AA50" i="1"/>
  <c r="AA49" i="1"/>
  <c r="AA48" i="1"/>
  <c r="AA47" i="1"/>
  <c r="AA46" i="1"/>
  <c r="AA45" i="1"/>
  <c r="AA44" i="1"/>
  <c r="AA43" i="1"/>
  <c r="AA42" i="1"/>
  <c r="AA41" i="1"/>
  <c r="AA40" i="1"/>
  <c r="AA39" i="1"/>
  <c r="AA38" i="1"/>
  <c r="AA37" i="1"/>
  <c r="AA36" i="1"/>
  <c r="AA35" i="1"/>
  <c r="AA34" i="1"/>
  <c r="AA33" i="1"/>
  <c r="AA32" i="1"/>
  <c r="AA31" i="1"/>
  <c r="AA30" i="1"/>
  <c r="AA29" i="1"/>
  <c r="AA28" i="1"/>
  <c r="AA27" i="1"/>
  <c r="AA26" i="1"/>
  <c r="AA25" i="1"/>
  <c r="AA24" i="1"/>
  <c r="AA23" i="1"/>
  <c r="AA22" i="1"/>
  <c r="AA21" i="1"/>
  <c r="AA20" i="1"/>
  <c r="AA19" i="1"/>
  <c r="AA18" i="1"/>
  <c r="AA17" i="1"/>
  <c r="AA16" i="1"/>
  <c r="AA15" i="1"/>
  <c r="AA14" i="1"/>
  <c r="AA13" i="1"/>
  <c r="Z61" i="1"/>
  <c r="Z60" i="1"/>
  <c r="Z59" i="1"/>
  <c r="Z58" i="1"/>
  <c r="Z57" i="1"/>
  <c r="Z56" i="1"/>
  <c r="Z55" i="1"/>
  <c r="Z54" i="1"/>
  <c r="Z53" i="1"/>
  <c r="Z52" i="1"/>
  <c r="Z51" i="1"/>
  <c r="Z50" i="1"/>
  <c r="Z49" i="1"/>
  <c r="Z48" i="1"/>
  <c r="Z47" i="1"/>
  <c r="Z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Y61" i="1"/>
  <c r="Y60" i="1"/>
  <c r="Y59" i="1"/>
  <c r="Y58" i="1"/>
  <c r="Y57" i="1"/>
  <c r="Y56" i="1"/>
  <c r="Y55" i="1"/>
  <c r="Y54" i="1"/>
  <c r="Y53" i="1"/>
  <c r="Y52" i="1"/>
  <c r="Y51" i="1"/>
  <c r="Y50" i="1"/>
  <c r="Y49" i="1"/>
  <c r="Y48" i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AA12" i="1"/>
  <c r="Z1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R61" i="1"/>
  <c r="R60" i="1"/>
  <c r="R59" i="1"/>
  <c r="R58" i="1"/>
  <c r="R57" i="1"/>
  <c r="R56" i="1"/>
  <c r="R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F61" i="1"/>
  <c r="N61" i="1"/>
  <c r="O61" i="1"/>
  <c r="P61" i="1"/>
  <c r="Q61" i="1"/>
  <c r="T61" i="1"/>
  <c r="U61" i="1"/>
  <c r="V61" i="1"/>
  <c r="W61" i="1"/>
  <c r="X61" i="1"/>
  <c r="AB61" i="1"/>
  <c r="F60" i="1"/>
  <c r="N60" i="1"/>
  <c r="O60" i="1"/>
  <c r="P60" i="1"/>
  <c r="Q60" i="1"/>
  <c r="T60" i="1"/>
  <c r="U60" i="1"/>
  <c r="V60" i="1"/>
  <c r="W60" i="1"/>
  <c r="X60" i="1"/>
  <c r="AB60" i="1"/>
  <c r="F54" i="1"/>
  <c r="F55" i="1"/>
  <c r="F56" i="1"/>
  <c r="F57" i="1"/>
  <c r="F58" i="1"/>
  <c r="F59" i="1"/>
  <c r="N54" i="1"/>
  <c r="N55" i="1"/>
  <c r="N56" i="1"/>
  <c r="N57" i="1"/>
  <c r="N58" i="1"/>
  <c r="N59" i="1"/>
  <c r="O54" i="1"/>
  <c r="O55" i="1"/>
  <c r="O56" i="1"/>
  <c r="O57" i="1"/>
  <c r="O58" i="1"/>
  <c r="O59" i="1"/>
  <c r="P54" i="1"/>
  <c r="P55" i="1"/>
  <c r="P56" i="1"/>
  <c r="P57" i="1"/>
  <c r="P58" i="1"/>
  <c r="P59" i="1"/>
  <c r="Q54" i="1"/>
  <c r="Q55" i="1"/>
  <c r="Q56" i="1"/>
  <c r="Q57" i="1"/>
  <c r="Q58" i="1"/>
  <c r="Q59" i="1"/>
  <c r="T54" i="1"/>
  <c r="T55" i="1"/>
  <c r="T56" i="1"/>
  <c r="T57" i="1"/>
  <c r="T58" i="1"/>
  <c r="T59" i="1"/>
  <c r="U54" i="1"/>
  <c r="U55" i="1"/>
  <c r="U56" i="1"/>
  <c r="U57" i="1"/>
  <c r="U58" i="1"/>
  <c r="U59" i="1"/>
  <c r="V54" i="1"/>
  <c r="V55" i="1"/>
  <c r="V56" i="1"/>
  <c r="V57" i="1"/>
  <c r="V58" i="1"/>
  <c r="V59" i="1"/>
  <c r="W54" i="1"/>
  <c r="W55" i="1"/>
  <c r="W56" i="1"/>
  <c r="W57" i="1"/>
  <c r="W58" i="1"/>
  <c r="W59" i="1"/>
  <c r="X54" i="1"/>
  <c r="X55" i="1"/>
  <c r="X56" i="1"/>
  <c r="X57" i="1"/>
  <c r="X58" i="1"/>
  <c r="X59" i="1"/>
  <c r="AB54" i="1"/>
  <c r="AB55" i="1"/>
  <c r="AB56" i="1"/>
  <c r="AB57" i="1"/>
  <c r="AB58" i="1"/>
  <c r="AB59" i="1"/>
  <c r="F53" i="1"/>
  <c r="N53" i="1"/>
  <c r="O53" i="1"/>
  <c r="P53" i="1"/>
  <c r="Q53" i="1"/>
  <c r="T53" i="1"/>
  <c r="U53" i="1"/>
  <c r="V53" i="1"/>
  <c r="W53" i="1"/>
  <c r="X53" i="1"/>
  <c r="AB53" i="1"/>
  <c r="F52" i="1"/>
  <c r="N52" i="1"/>
  <c r="O52" i="1"/>
  <c r="P52" i="1"/>
  <c r="Q52" i="1"/>
  <c r="T52" i="1"/>
  <c r="U52" i="1"/>
  <c r="V52" i="1"/>
  <c r="W52" i="1"/>
  <c r="X52" i="1"/>
  <c r="AB52" i="1"/>
  <c r="G9" i="1"/>
  <c r="X51" i="1"/>
  <c r="X50" i="1"/>
  <c r="X49" i="1"/>
  <c r="X48" i="1"/>
  <c r="X47" i="1"/>
  <c r="X46" i="1"/>
  <c r="X45" i="1"/>
  <c r="X44" i="1"/>
  <c r="X43" i="1"/>
  <c r="X42" i="1"/>
  <c r="X41" i="1"/>
  <c r="X40" i="1"/>
  <c r="X39" i="1"/>
  <c r="X38" i="1"/>
  <c r="X37" i="1"/>
  <c r="X36" i="1"/>
  <c r="X35" i="1"/>
  <c r="X34" i="1"/>
  <c r="X33" i="1"/>
  <c r="X32" i="1"/>
  <c r="X31" i="1"/>
  <c r="X30" i="1"/>
  <c r="X29" i="1"/>
  <c r="X28" i="1"/>
  <c r="X27" i="1"/>
  <c r="X26" i="1"/>
  <c r="X25" i="1"/>
  <c r="X24" i="1"/>
  <c r="X23" i="1"/>
  <c r="X22" i="1"/>
  <c r="X21" i="1"/>
  <c r="X20" i="1"/>
  <c r="X19" i="1"/>
  <c r="X18" i="1"/>
  <c r="X17" i="1"/>
  <c r="X16" i="1"/>
  <c r="X15" i="1"/>
  <c r="X14" i="1"/>
  <c r="X13" i="1"/>
  <c r="X12" i="1"/>
  <c r="W51" i="1"/>
  <c r="W50" i="1"/>
  <c r="W49" i="1"/>
  <c r="W48" i="1"/>
  <c r="W47" i="1"/>
  <c r="W46" i="1"/>
  <c r="W45" i="1"/>
  <c r="W44" i="1"/>
  <c r="W43" i="1"/>
  <c r="W42" i="1"/>
  <c r="W41" i="1"/>
  <c r="W40" i="1"/>
  <c r="W39" i="1"/>
  <c r="W38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W13" i="1"/>
  <c r="W1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U51" i="1"/>
  <c r="U50" i="1"/>
  <c r="U49" i="1"/>
  <c r="U48" i="1"/>
  <c r="U47" i="1"/>
  <c r="U46" i="1"/>
  <c r="U45" i="1"/>
  <c r="U44" i="1"/>
  <c r="U43" i="1"/>
  <c r="U42" i="1"/>
  <c r="U41" i="1"/>
  <c r="U40" i="1"/>
  <c r="U39" i="1"/>
  <c r="U38" i="1"/>
  <c r="U37" i="1"/>
  <c r="U36" i="1"/>
  <c r="U35" i="1"/>
  <c r="U34" i="1"/>
  <c r="U33" i="1"/>
  <c r="U32" i="1"/>
  <c r="U31" i="1"/>
  <c r="U30" i="1"/>
  <c r="U29" i="1"/>
  <c r="U28" i="1"/>
  <c r="U27" i="1"/>
  <c r="U26" i="1"/>
  <c r="U25" i="1"/>
  <c r="U24" i="1"/>
  <c r="U23" i="1"/>
  <c r="U22" i="1"/>
  <c r="U21" i="1"/>
  <c r="U20" i="1"/>
  <c r="U19" i="1"/>
  <c r="U18" i="1"/>
  <c r="U17" i="1"/>
  <c r="U16" i="1"/>
  <c r="U15" i="1"/>
  <c r="U14" i="1"/>
  <c r="U13" i="1"/>
  <c r="U1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AC61" i="1" l="1"/>
  <c r="AC60" i="1"/>
  <c r="AC57" i="1"/>
  <c r="AC56" i="1"/>
  <c r="AC54" i="1"/>
  <c r="AC55" i="1"/>
  <c r="AC59" i="1"/>
  <c r="AC58" i="1"/>
  <c r="AC53" i="1"/>
  <c r="AC52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N51" i="1"/>
  <c r="N50" i="1"/>
  <c r="N49" i="1"/>
  <c r="N48" i="1"/>
  <c r="N47" i="1"/>
  <c r="N46" i="1"/>
  <c r="N45" i="1"/>
  <c r="N44" i="1"/>
  <c r="N43" i="1"/>
  <c r="N42" i="1"/>
  <c r="N41" i="1"/>
  <c r="N40" i="1"/>
  <c r="N39" i="1"/>
  <c r="N38" i="1"/>
  <c r="N37" i="1"/>
  <c r="N36" i="1"/>
  <c r="N35" i="1"/>
  <c r="N34" i="1"/>
  <c r="N33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32" i="1"/>
  <c r="F20" i="1"/>
  <c r="F12" i="1"/>
  <c r="F13" i="1"/>
  <c r="F14" i="1"/>
  <c r="F15" i="1"/>
  <c r="F16" i="1"/>
  <c r="F17" i="1"/>
  <c r="F18" i="1"/>
  <c r="F19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I23" i="2"/>
  <c r="D6" i="2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H9" i="1"/>
  <c r="I18" i="2"/>
  <c r="AB15" i="1"/>
  <c r="AB14" i="1"/>
  <c r="AB13" i="1"/>
  <c r="AB12" i="1"/>
  <c r="N8" i="2"/>
  <c r="D20" i="2" l="1"/>
  <c r="E20" i="2" s="1"/>
  <c r="D21" i="2"/>
  <c r="D15" i="2"/>
  <c r="J63" i="1"/>
  <c r="J64" i="1"/>
  <c r="J62" i="1"/>
  <c r="J65" i="1"/>
  <c r="J66" i="1"/>
  <c r="J24" i="1"/>
  <c r="J49" i="1"/>
  <c r="J50" i="1"/>
  <c r="J33" i="1"/>
  <c r="J41" i="1"/>
  <c r="J25" i="1"/>
  <c r="J16" i="1"/>
  <c r="J12" i="1"/>
  <c r="J19" i="1"/>
  <c r="J59" i="1"/>
  <c r="J31" i="1"/>
  <c r="J23" i="1"/>
  <c r="J14" i="1"/>
  <c r="J47" i="1"/>
  <c r="J28" i="1"/>
  <c r="J20" i="1"/>
  <c r="J35" i="1"/>
  <c r="J27" i="1"/>
  <c r="J18" i="1"/>
  <c r="J42" i="1"/>
  <c r="J34" i="1"/>
  <c r="J26" i="1"/>
  <c r="J17" i="1"/>
  <c r="J48" i="1"/>
  <c r="J40" i="1"/>
  <c r="J32" i="1"/>
  <c r="J15" i="1"/>
  <c r="J60" i="1"/>
  <c r="J54" i="1"/>
  <c r="J46" i="1"/>
  <c r="J38" i="1"/>
  <c r="J30" i="1"/>
  <c r="J22" i="1"/>
  <c r="J13" i="1"/>
  <c r="J58" i="1"/>
  <c r="J45" i="1"/>
  <c r="J37" i="1"/>
  <c r="J29" i="1"/>
  <c r="J21" i="1"/>
  <c r="J39" i="1"/>
  <c r="J44" i="1"/>
  <c r="J36" i="1"/>
  <c r="J61" i="1"/>
  <c r="J51" i="1"/>
  <c r="J43" i="1"/>
  <c r="J55" i="1"/>
  <c r="J52" i="1"/>
  <c r="J57" i="1"/>
  <c r="J53" i="1"/>
  <c r="J56" i="1"/>
  <c r="I6" i="2"/>
  <c r="I15" i="2"/>
  <c r="M113" i="2" a="1"/>
  <c r="M113" i="2" s="1"/>
  <c r="AC12" i="1"/>
  <c r="AC20" i="1"/>
  <c r="AC16" i="1"/>
  <c r="AC13" i="1"/>
  <c r="AC15" i="1"/>
  <c r="AC14" i="1"/>
  <c r="AC17" i="1"/>
  <c r="AC19" i="1"/>
  <c r="AC18" i="1"/>
  <c r="D8" i="2"/>
  <c r="E8" i="2" s="1"/>
  <c r="D9" i="2"/>
  <c r="E9" i="2" s="1"/>
  <c r="AC32" i="1"/>
  <c r="AC47" i="1"/>
  <c r="I21" i="2"/>
  <c r="J21" i="2" s="1"/>
  <c r="I20" i="2"/>
  <c r="J20" i="2" s="1"/>
  <c r="D7" i="2" l="1"/>
  <c r="E7" i="2" s="1"/>
  <c r="AC45" i="1"/>
  <c r="AC48" i="1"/>
  <c r="AC35" i="1"/>
  <c r="AC21" i="1"/>
  <c r="I19" i="2"/>
  <c r="J19" i="2" s="1"/>
  <c r="D19" i="2"/>
  <c r="E19" i="2" s="1"/>
  <c r="E21" i="2"/>
  <c r="AC41" i="1" l="1"/>
  <c r="AC42" i="1"/>
  <c r="AC28" i="1"/>
  <c r="AC44" i="1"/>
  <c r="AC30" i="1"/>
  <c r="AC49" i="1"/>
  <c r="AC38" i="1"/>
  <c r="AC36" i="1"/>
  <c r="AC46" i="1"/>
  <c r="AC31" i="1"/>
  <c r="AC27" i="1"/>
  <c r="AC50" i="1"/>
  <c r="AC24" i="1"/>
  <c r="AC29" i="1"/>
  <c r="AC37" i="1"/>
  <c r="AC22" i="1"/>
  <c r="AC33" i="1"/>
  <c r="AC39" i="1"/>
  <c r="AC26" i="1"/>
  <c r="AC25" i="1"/>
  <c r="AC34" i="1"/>
  <c r="AC23" i="1"/>
  <c r="AC40" i="1"/>
  <c r="AC43" i="1"/>
  <c r="AC51" i="1"/>
  <c r="D27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Giuliano Benicio Charra Marquez</author>
  </authors>
  <commentList>
    <comment ref="G5" authorId="0" shapeId="0" xr:uid="{E17A1066-9F68-444A-8840-8563E64F7382}">
      <text>
        <r>
          <rPr>
            <sz val="11"/>
            <color indexed="81"/>
            <rFont val="Tahoma"/>
            <family val="2"/>
          </rPr>
          <t xml:space="preserve">Las materias dependientes solo se mostrarán si la materia ha sido </t>
        </r>
        <r>
          <rPr>
            <b/>
            <sz val="11"/>
            <color indexed="81"/>
            <rFont val="Tahoma"/>
            <family val="2"/>
          </rPr>
          <t>seleccionada</t>
        </r>
        <r>
          <rPr>
            <sz val="11"/>
            <color indexed="81"/>
            <rFont val="Tahoma"/>
            <family val="2"/>
          </rPr>
          <t xml:space="preserve"> o su nombre ha sido </t>
        </r>
        <r>
          <rPr>
            <b/>
            <sz val="11"/>
            <color indexed="81"/>
            <rFont val="Tahoma"/>
            <family val="2"/>
          </rPr>
          <t>ingresado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Tahoma"/>
            <family val="2"/>
          </rPr>
          <t>manualmente.</t>
        </r>
      </text>
    </comment>
    <comment ref="G7" authorId="0" shapeId="0" xr:uid="{6FB26CE6-5F09-4617-A302-AFDBA124E222}">
      <text>
        <r>
          <rPr>
            <sz val="11"/>
            <color indexed="81"/>
            <rFont val="Tahoma"/>
            <family val="2"/>
          </rPr>
          <t xml:space="preserve">La </t>
        </r>
        <r>
          <rPr>
            <b/>
            <sz val="11"/>
            <color indexed="81"/>
            <rFont val="Tahoma"/>
            <family val="2"/>
          </rPr>
          <t>excepción de 30</t>
        </r>
        <r>
          <rPr>
            <sz val="11"/>
            <color indexed="81"/>
            <rFont val="Tahoma"/>
            <family val="2"/>
          </rPr>
          <t xml:space="preserve"> hs permite cursar materias sin considerar sus correlativas, siempre que la </t>
        </r>
        <r>
          <rPr>
            <b/>
            <sz val="11"/>
            <color indexed="81"/>
            <rFont val="Tahoma"/>
            <family val="2"/>
          </rPr>
          <t>suma</t>
        </r>
        <r>
          <rPr>
            <sz val="11"/>
            <color indexed="81"/>
            <rFont val="Tahoma"/>
            <family val="2"/>
          </rPr>
          <t xml:space="preserve"> de la </t>
        </r>
        <r>
          <rPr>
            <b/>
            <sz val="11"/>
            <color indexed="81"/>
            <rFont val="Tahoma"/>
            <family val="2"/>
          </rPr>
          <t>carga horaria semanal</t>
        </r>
        <r>
          <rPr>
            <sz val="11"/>
            <color indexed="81"/>
            <rFont val="Tahoma"/>
            <family val="2"/>
          </rPr>
          <t xml:space="preserve"> de las materias pendientes no supere la carga horaria total de quinto año.
</t>
        </r>
        <r>
          <rPr>
            <sz val="11"/>
            <color indexed="81"/>
            <rFont val="Tahoma"/>
            <family val="2"/>
          </rPr>
          <t xml:space="preserve">
Este cálculo es solo un estimado basado en la carga horaria actual y </t>
        </r>
        <r>
          <rPr>
            <b/>
            <sz val="11"/>
            <color indexed="81"/>
            <rFont val="Tahoma"/>
            <family val="2"/>
          </rPr>
          <t>NO garantiza</t>
        </r>
        <r>
          <rPr>
            <sz val="11"/>
            <color indexed="81"/>
            <rFont val="Tahoma"/>
            <family val="2"/>
          </rPr>
          <t xml:space="preserve"> la aprobación de la solicitud. Los horarios y requisitos pueden variar, por lo que la decisión final dependerá exclusivamente de la facultad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<sst xmlns="http://schemas.openxmlformats.org/spreadsheetml/2006/main" count="1027" uniqueCount="154">
  <si>
    <t>Numero</t>
  </si>
  <si>
    <t>Materia</t>
  </si>
  <si>
    <t>Proyecto Final</t>
  </si>
  <si>
    <t>Modalidad</t>
  </si>
  <si>
    <t>Regular</t>
  </si>
  <si>
    <t>Para Cursar/Rendir</t>
  </si>
  <si>
    <t>A</t>
  </si>
  <si>
    <t>Leyenda</t>
  </si>
  <si>
    <t>CC</t>
  </si>
  <si>
    <t>Contra Cuatrimestre</t>
  </si>
  <si>
    <t>Anual</t>
  </si>
  <si>
    <t>Primer Cuatrimestre</t>
  </si>
  <si>
    <t>Segundo Cuatrimestre</t>
  </si>
  <si>
    <t>Aprobadas</t>
  </si>
  <si>
    <t>Regulares</t>
  </si>
  <si>
    <t>Aprobado</t>
  </si>
  <si>
    <t>1C</t>
  </si>
  <si>
    <t>2C</t>
  </si>
  <si>
    <t>1C - CC</t>
  </si>
  <si>
    <t>1C - 2C</t>
  </si>
  <si>
    <t>2C - CC</t>
  </si>
  <si>
    <t>Modalidades</t>
  </si>
  <si>
    <t>--</t>
  </si>
  <si>
    <t>Legislación</t>
  </si>
  <si>
    <t>Ingeniería y Sociedad</t>
  </si>
  <si>
    <t>E-1</t>
  </si>
  <si>
    <t>E-2</t>
  </si>
  <si>
    <t>Nota</t>
  </si>
  <si>
    <t>Promedio</t>
  </si>
  <si>
    <t>Autor</t>
  </si>
  <si>
    <t>Puntos</t>
  </si>
  <si>
    <t>Analista</t>
  </si>
  <si>
    <t>Ingeniero</t>
  </si>
  <si>
    <t>Materias</t>
  </si>
  <si>
    <t>Creditos</t>
  </si>
  <si>
    <t>Regulaes</t>
  </si>
  <si>
    <t>R2</t>
  </si>
  <si>
    <t>R3</t>
  </si>
  <si>
    <t>R4</t>
  </si>
  <si>
    <t>A2</t>
  </si>
  <si>
    <t>A3</t>
  </si>
  <si>
    <t>A4</t>
  </si>
  <si>
    <t>R1</t>
  </si>
  <si>
    <t>A1</t>
  </si>
  <si>
    <t>Materias Faltantes Para Ingeniero</t>
  </si>
  <si>
    <t>Materias que podes cursar</t>
  </si>
  <si>
    <t>Total</t>
  </si>
  <si>
    <t xml:space="preserve">Total Materias </t>
  </si>
  <si>
    <t>Giuliano Charra Marquez</t>
  </si>
  <si>
    <t>Nivel</t>
  </si>
  <si>
    <t>Codigo</t>
  </si>
  <si>
    <t>Excepcion 30hs</t>
  </si>
  <si>
    <t>Faltan Cursar</t>
  </si>
  <si>
    <t>NO</t>
  </si>
  <si>
    <t>SI</t>
  </si>
  <si>
    <t>Cursar</t>
  </si>
  <si>
    <t>Icono</t>
  </si>
  <si>
    <t>Tipo</t>
  </si>
  <si>
    <t>Electiva</t>
  </si>
  <si>
    <t>Estado</t>
  </si>
  <si>
    <t>Datos listado materias desplegable</t>
  </si>
  <si>
    <t>HALLAR</t>
  </si>
  <si>
    <t>Carga Horaria</t>
  </si>
  <si>
    <t>FILTRAR</t>
  </si>
  <si>
    <t>1° Primero</t>
  </si>
  <si>
    <t>2° Segundo</t>
  </si>
  <si>
    <t>3° Tercero</t>
  </si>
  <si>
    <t>4° Cuarto</t>
  </si>
  <si>
    <t>5° Quinto</t>
  </si>
  <si>
    <t>Numero Materia Correlativas</t>
  </si>
  <si>
    <t>Numero Materia Dependientes</t>
  </si>
  <si>
    <t>Mostrar Correlativas</t>
  </si>
  <si>
    <t>Carga Horaria Faltante</t>
  </si>
  <si>
    <t>¿Puede Solicitar Excepción?</t>
  </si>
  <si>
    <t>Tramite Excepción Aceptada</t>
  </si>
  <si>
    <t>Año de Ingreso</t>
  </si>
  <si>
    <t>&lt;2023</t>
  </si>
  <si>
    <t>&gt;=2023</t>
  </si>
  <si>
    <t>Tabla de correlativas Ingresantes antes de 2023</t>
  </si>
  <si>
    <t>Tabla de correlativas Ingresantes a partir de 2023</t>
  </si>
  <si>
    <t>Libre/Falta Cursar</t>
  </si>
  <si>
    <t>Tabla de correlativas Gemeral</t>
  </si>
  <si>
    <t>ORDEN</t>
  </si>
  <si>
    <t>Materias Faltantes Para Técnico</t>
  </si>
  <si>
    <t>Álgebra y Geometría Analítica</t>
  </si>
  <si>
    <t>Química General</t>
  </si>
  <si>
    <t>Probabilidad y Estadística</t>
  </si>
  <si>
    <t>R5</t>
  </si>
  <si>
    <t>A5</t>
  </si>
  <si>
    <t>A6</t>
  </si>
  <si>
    <t>Sistemas de Representación</t>
  </si>
  <si>
    <t>Mecánica de los Fluidos</t>
  </si>
  <si>
    <t>A7</t>
  </si>
  <si>
    <t>A8</t>
  </si>
  <si>
    <t>R6</t>
  </si>
  <si>
    <t>E-3</t>
  </si>
  <si>
    <t>E-5</t>
  </si>
  <si>
    <t>E-7</t>
  </si>
  <si>
    <t>E-9</t>
  </si>
  <si>
    <t>E-11</t>
  </si>
  <si>
    <t>Pensamiento Sistémico</t>
  </si>
  <si>
    <t>Administración General</t>
  </si>
  <si>
    <t>Economía General</t>
  </si>
  <si>
    <t>Costos y Presupuestos</t>
  </si>
  <si>
    <t>Estudio del Trabajo</t>
  </si>
  <si>
    <t>Comercialización</t>
  </si>
  <si>
    <t>Termodinámica y Máquinas Térmicas</t>
  </si>
  <si>
    <t>Estática y Resistencia de los Materiales</t>
  </si>
  <si>
    <t>Economía de la Empresa</t>
  </si>
  <si>
    <t>Electrotecnia y Máquinas Eléctricas</t>
  </si>
  <si>
    <t>Análisis Numérico y Cálculo Avanzado</t>
  </si>
  <si>
    <t>Investigación Operativa</t>
  </si>
  <si>
    <t>Procesos Industriales</t>
  </si>
  <si>
    <t>Mecánica y Mecanismos</t>
  </si>
  <si>
    <t>Evaluación de Proyectos</t>
  </si>
  <si>
    <t>Planificación y Control de la Producción</t>
  </si>
  <si>
    <t>Diseño de Producto</t>
  </si>
  <si>
    <t>Instalaciones Industriales</t>
  </si>
  <si>
    <t>Mantenimiento</t>
  </si>
  <si>
    <t>Comercio Exterior</t>
  </si>
  <si>
    <t>Relaciones Industriales</t>
  </si>
  <si>
    <t>Ingeniería en Calidad</t>
  </si>
  <si>
    <t>Control de Gestión</t>
  </si>
  <si>
    <t>Gestión Ambiental</t>
  </si>
  <si>
    <t>Gestión Emprendedora</t>
  </si>
  <si>
    <t>Gestión de Proyectos</t>
  </si>
  <si>
    <t>Logística</t>
  </si>
  <si>
    <t>Política Económica</t>
  </si>
  <si>
    <t>Coaching de Formadores</t>
  </si>
  <si>
    <t>Simulación</t>
  </si>
  <si>
    <t>Ciencias de los Materiales</t>
  </si>
  <si>
    <t>Seguridad, Higiene e Ingeniería Ambiental</t>
  </si>
  <si>
    <t>Energías Renovables</t>
  </si>
  <si>
    <t>CNH CÁTEDRA IN STU</t>
  </si>
  <si>
    <t>Manejo de Materiales y Distribución de Planta</t>
  </si>
  <si>
    <t>Gestión del Conocimiento, la Innovación y Economía Crítica</t>
  </si>
  <si>
    <t>Sustentabilidad y Nuevas Economías</t>
  </si>
  <si>
    <t>Práctica profesional Supervisada</t>
  </si>
  <si>
    <t>E-4</t>
  </si>
  <si>
    <t>E-6</t>
  </si>
  <si>
    <t>E-8</t>
  </si>
  <si>
    <t>E-10</t>
  </si>
  <si>
    <t>E-12</t>
  </si>
  <si>
    <t>Total (10)</t>
  </si>
  <si>
    <t>Análisis Matemático 1</t>
  </si>
  <si>
    <t>Informática 1</t>
  </si>
  <si>
    <t>Física 1</t>
  </si>
  <si>
    <t>Análisis Matemático 2</t>
  </si>
  <si>
    <t>Física 2</t>
  </si>
  <si>
    <t>Informática 2</t>
  </si>
  <si>
    <t>Inglés 1</t>
  </si>
  <si>
    <t>Inglés 2</t>
  </si>
  <si>
    <t>Ing. Industrial Plan de Estudio UTN FRC 2025</t>
  </si>
  <si>
    <t>Análisis De Datos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</si>
</sst>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2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22"/>
      <color theme="0" tint="-4.9989318521683403E-2"/>
      <name val="Calibri"/>
      <family val="2"/>
      <scheme val="minor"/>
    </font>
    <font>
      <sz val="18"/>
      <color theme="0" tint="-4.9989318521683403E-2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4" tint="-0.249977111117893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indexed="81"/>
      <name val="Tahoma"/>
      <family val="2"/>
    </font>
    <font>
      <b/>
      <sz val="11"/>
      <color indexed="81"/>
      <name val="Tahoma"/>
      <family val="2"/>
    </font>
    <font>
      <b/>
      <sz val="16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8"/>
      <color theme="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/>
        <bgColor theme="8"/>
      </patternFill>
    </fill>
    <fill>
      <patternFill patternType="solid">
        <fgColor rgb="FFF55D5D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EF5F5F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AB0B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D1D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medium">
        <color indexed="64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/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indexed="64"/>
      </left>
      <right/>
      <top style="thin">
        <color theme="0"/>
      </top>
      <bottom style="medium">
        <color indexed="64"/>
      </bottom>
      <diagonal/>
    </border>
    <border>
      <left/>
      <right/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</borders>
  <cellStyleXfs count="5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9" fontId="3" fillId="0" borderId="0" applyFont="0" applyFill="0" applyBorder="0" applyAlignment="0" applyProtection="0"/>
  </cellStyleXfs>
  <cellXfs count="286">
    <xf numFmtId="0" fontId="0" fillId="0" borderId="0" xfId="0"/>
    <xf numFmtId="0" fontId="5" fillId="0" borderId="0" xfId="0" applyFont="1" applyAlignment="1">
      <alignment horizontal="center"/>
    </xf>
    <xf numFmtId="0" fontId="0" fillId="0" borderId="4" xfId="0" applyBorder="1"/>
    <xf numFmtId="0" fontId="0" fillId="0" borderId="17" xfId="0" applyBorder="1"/>
    <xf numFmtId="0" fontId="0" fillId="0" borderId="6" xfId="0" applyBorder="1"/>
    <xf numFmtId="0" fontId="0" fillId="0" borderId="16" xfId="0" applyBorder="1"/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5" fillId="0" borderId="0" xfId="0" applyFont="1"/>
    <xf numFmtId="0" fontId="10" fillId="0" borderId="0" xfId="0" applyFont="1"/>
    <xf numFmtId="0" fontId="5" fillId="17" borderId="0" xfId="3" applyFont="1" applyFill="1" applyBorder="1" applyAlignment="1">
      <alignment horizontal="center" vertical="center"/>
    </xf>
    <xf numFmtId="0" fontId="15" fillId="0" borderId="0" xfId="0" applyFont="1"/>
    <xf numFmtId="0" fontId="5" fillId="15" borderId="0" xfId="2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/>
    <xf numFmtId="0" fontId="0" fillId="0" borderId="0" xfId="0" applyFill="1"/>
    <xf numFmtId="0" fontId="0" fillId="0" borderId="24" xfId="0" applyBorder="1"/>
    <xf numFmtId="0" fontId="5" fillId="16" borderId="0" xfId="0" applyFont="1" applyFill="1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0" fontId="0" fillId="0" borderId="25" xfId="0" applyBorder="1"/>
    <xf numFmtId="0" fontId="0" fillId="0" borderId="11" xfId="0" applyBorder="1"/>
    <xf numFmtId="0" fontId="0" fillId="0" borderId="26" xfId="0" applyBorder="1"/>
    <xf numFmtId="0" fontId="0" fillId="0" borderId="24" xfId="0" applyBorder="1" applyAlignment="1">
      <alignment horizontal="center" vertical="center"/>
    </xf>
    <xf numFmtId="0" fontId="0" fillId="0" borderId="18" xfId="0" applyBorder="1"/>
    <xf numFmtId="0" fontId="0" fillId="0" borderId="20" xfId="0" applyBorder="1"/>
    <xf numFmtId="0" fontId="0" fillId="0" borderId="27" xfId="0" applyBorder="1"/>
    <xf numFmtId="0" fontId="5" fillId="0" borderId="0" xfId="0" applyFont="1" applyAlignment="1">
      <alignment horizontal="right" vertical="center"/>
    </xf>
    <xf numFmtId="0" fontId="19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9" fontId="7" fillId="0" borderId="0" xfId="4" applyFont="1" applyAlignment="1">
      <alignment vertical="center"/>
    </xf>
    <xf numFmtId="0" fontId="7" fillId="0" borderId="0" xfId="0" applyFont="1" applyAlignment="1">
      <alignment horizontal="right" vertical="center"/>
    </xf>
    <xf numFmtId="0" fontId="5" fillId="0" borderId="0" xfId="0" applyFont="1" applyBorder="1" applyAlignment="1">
      <alignment horizontal="center"/>
    </xf>
    <xf numFmtId="0" fontId="0" fillId="0" borderId="5" xfId="0" applyBorder="1"/>
    <xf numFmtId="0" fontId="4" fillId="0" borderId="0" xfId="0" applyFont="1" applyBorder="1" applyAlignment="1">
      <alignment horizontal="left" vertical="center"/>
    </xf>
    <xf numFmtId="0" fontId="4" fillId="0" borderId="4" xfId="0" applyFont="1" applyBorder="1" applyAlignment="1">
      <alignment horizontal="right" vertical="center"/>
    </xf>
    <xf numFmtId="0" fontId="5" fillId="21" borderId="0" xfId="0" applyFont="1" applyFill="1" applyBorder="1" applyAlignment="1">
      <alignment horizontal="center" vertical="center"/>
    </xf>
    <xf numFmtId="0" fontId="5" fillId="22" borderId="0" xfId="1" applyFont="1" applyFill="1" applyBorder="1" applyAlignment="1">
      <alignment horizontal="center" vertical="center"/>
    </xf>
    <xf numFmtId="0" fontId="5" fillId="18" borderId="0" xfId="1" applyFont="1" applyFill="1" applyBorder="1" applyAlignment="1">
      <alignment horizontal="center" vertical="center"/>
    </xf>
    <xf numFmtId="0" fontId="11" fillId="0" borderId="0" xfId="0" applyFont="1" applyBorder="1" applyAlignment="1">
      <alignment vertical="center"/>
    </xf>
    <xf numFmtId="0" fontId="23" fillId="23" borderId="31" xfId="0" applyFont="1" applyFill="1" applyBorder="1"/>
    <xf numFmtId="0" fontId="0" fillId="0" borderId="31" xfId="0" applyFont="1" applyBorder="1"/>
    <xf numFmtId="0" fontId="0" fillId="0" borderId="0" xfId="0" applyAlignment="1">
      <alignment horizontal="left" vertical="center"/>
    </xf>
    <xf numFmtId="0" fontId="12" fillId="0" borderId="0" xfId="0" applyFont="1" applyFill="1" applyAlignment="1">
      <alignment vertical="center"/>
    </xf>
    <xf numFmtId="0" fontId="13" fillId="0" borderId="0" xfId="0" applyFont="1" applyFill="1" applyAlignment="1">
      <alignment vertical="center"/>
    </xf>
    <xf numFmtId="0" fontId="4" fillId="0" borderId="0" xfId="0" applyFont="1" applyBorder="1" applyAlignment="1">
      <alignment vertical="center" wrapText="1"/>
    </xf>
    <xf numFmtId="0" fontId="22" fillId="0" borderId="0" xfId="0" applyFont="1" applyBorder="1" applyAlignment="1">
      <alignment vertical="center"/>
    </xf>
    <xf numFmtId="0" fontId="0" fillId="0" borderId="0" xfId="0" applyAlignment="1">
      <alignment horizontal="center"/>
    </xf>
    <xf numFmtId="0" fontId="0" fillId="25" borderId="30" xfId="0" applyFill="1" applyBorder="1" applyAlignment="1">
      <alignment horizontal="center" vertical="center"/>
    </xf>
    <xf numFmtId="0" fontId="17" fillId="0" borderId="0" xfId="0" applyFont="1" applyFill="1" applyBorder="1" applyAlignment="1">
      <alignment vertical="center" wrapText="1"/>
    </xf>
    <xf numFmtId="0" fontId="17" fillId="26" borderId="5" xfId="0" applyFont="1" applyFill="1" applyBorder="1" applyAlignment="1">
      <alignment horizontal="center" vertical="center" wrapText="1"/>
    </xf>
    <xf numFmtId="0" fontId="17" fillId="24" borderId="30" xfId="0" applyFont="1" applyFill="1" applyBorder="1" applyAlignment="1">
      <alignment horizontal="center" vertical="center" wrapText="1"/>
    </xf>
    <xf numFmtId="0" fontId="16" fillId="24" borderId="3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Font="1" applyBorder="1"/>
    <xf numFmtId="0" fontId="0" fillId="0" borderId="3" xfId="0" applyBorder="1" applyAlignment="1">
      <alignment horizontal="center" vertical="center"/>
    </xf>
    <xf numFmtId="0" fontId="5" fillId="17" borderId="0" xfId="3" applyFont="1" applyFill="1" applyBorder="1" applyAlignment="1">
      <alignment horizontal="left" vertical="center" wrapText="1"/>
    </xf>
    <xf numFmtId="0" fontId="5" fillId="15" borderId="0" xfId="2" applyFont="1" applyFill="1" applyBorder="1" applyAlignment="1">
      <alignment horizontal="left" vertical="center" wrapText="1"/>
    </xf>
    <xf numFmtId="0" fontId="5" fillId="18" borderId="0" xfId="1" applyFont="1" applyFill="1" applyBorder="1" applyAlignment="1">
      <alignment horizontal="left" vertical="center" wrapText="1"/>
    </xf>
    <xf numFmtId="0" fontId="5" fillId="22" borderId="0" xfId="1" applyFont="1" applyFill="1" applyBorder="1" applyAlignment="1">
      <alignment horizontal="left" vertical="center" wrapText="1"/>
    </xf>
    <xf numFmtId="0" fontId="5" fillId="16" borderId="0" xfId="0" applyFont="1" applyFill="1" applyBorder="1" applyAlignment="1">
      <alignment horizontal="left" vertical="center" wrapText="1"/>
    </xf>
    <xf numFmtId="0" fontId="5" fillId="21" borderId="0" xfId="0" applyFont="1" applyFill="1" applyBorder="1" applyAlignment="1">
      <alignment horizontal="left" vertical="center" wrapText="1"/>
    </xf>
    <xf numFmtId="0" fontId="5" fillId="17" borderId="15" xfId="3" applyFont="1" applyFill="1" applyBorder="1" applyAlignment="1">
      <alignment horizontal="center" vertical="center"/>
    </xf>
    <xf numFmtId="0" fontId="5" fillId="17" borderId="10" xfId="3" applyFont="1" applyFill="1" applyBorder="1" applyAlignment="1">
      <alignment horizontal="center" vertical="center"/>
    </xf>
    <xf numFmtId="0" fontId="5" fillId="18" borderId="15" xfId="2" applyFont="1" applyFill="1" applyBorder="1" applyAlignment="1">
      <alignment horizontal="center" vertical="center"/>
    </xf>
    <xf numFmtId="0" fontId="5" fillId="18" borderId="10" xfId="2" applyFont="1" applyFill="1" applyBorder="1" applyAlignment="1">
      <alignment horizontal="center" vertical="center"/>
    </xf>
    <xf numFmtId="0" fontId="5" fillId="18" borderId="21" xfId="2" applyFont="1" applyFill="1" applyBorder="1" applyAlignment="1">
      <alignment horizontal="center" vertical="center"/>
    </xf>
    <xf numFmtId="0" fontId="5" fillId="22" borderId="4" xfId="2" applyFont="1" applyFill="1" applyBorder="1" applyAlignment="1">
      <alignment horizontal="center" vertical="center"/>
    </xf>
    <xf numFmtId="0" fontId="5" fillId="22" borderId="0" xfId="2" applyFont="1" applyFill="1" applyBorder="1" applyAlignment="1">
      <alignment horizontal="center" vertical="center"/>
    </xf>
    <xf numFmtId="0" fontId="5" fillId="22" borderId="17" xfId="2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24" xfId="0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9" fontId="5" fillId="0" borderId="0" xfId="4" applyFont="1" applyAlignment="1">
      <alignment vertical="center"/>
    </xf>
    <xf numFmtId="0" fontId="0" fillId="0" borderId="26" xfId="0" applyBorder="1" applyAlignment="1">
      <alignment vertical="center"/>
    </xf>
    <xf numFmtId="49" fontId="0" fillId="0" borderId="0" xfId="0" applyNumberFormat="1" applyAlignment="1">
      <alignment vertical="center"/>
    </xf>
    <xf numFmtId="0" fontId="5" fillId="16" borderId="4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5" borderId="17" xfId="2" applyFont="1" applyFill="1" applyBorder="1" applyAlignment="1">
      <alignment horizontal="center" vertical="center"/>
    </xf>
    <xf numFmtId="0" fontId="5" fillId="21" borderId="17" xfId="2" applyFont="1" applyFill="1" applyBorder="1" applyAlignment="1">
      <alignment horizontal="center" vertical="center"/>
    </xf>
    <xf numFmtId="0" fontId="5" fillId="17" borderId="17" xfId="3" applyFont="1" applyFill="1" applyBorder="1" applyAlignment="1">
      <alignment horizontal="center" vertical="center"/>
    </xf>
    <xf numFmtId="0" fontId="5" fillId="16" borderId="17" xfId="2" applyFont="1" applyFill="1" applyBorder="1" applyAlignment="1">
      <alignment horizontal="center" vertical="center"/>
    </xf>
    <xf numFmtId="0" fontId="5" fillId="18" borderId="17" xfId="2" applyFont="1" applyFill="1" applyBorder="1" applyAlignment="1">
      <alignment horizontal="center" vertical="center"/>
    </xf>
    <xf numFmtId="0" fontId="5" fillId="6" borderId="0" xfId="2" applyFont="1" applyFill="1" applyBorder="1" applyAlignment="1">
      <alignment horizontal="center" vertical="center"/>
    </xf>
    <xf numFmtId="0" fontId="5" fillId="6" borderId="23" xfId="2" applyFont="1" applyFill="1" applyBorder="1" applyAlignment="1">
      <alignment horizontal="center" vertical="center"/>
    </xf>
    <xf numFmtId="0" fontId="0" fillId="0" borderId="0" xfId="0" applyFont="1" applyBorder="1" applyAlignment="1">
      <alignment vertical="center"/>
    </xf>
    <xf numFmtId="0" fontId="14" fillId="0" borderId="0" xfId="0" applyFont="1" applyFill="1" applyAlignment="1">
      <alignment vertical="center"/>
    </xf>
    <xf numFmtId="0" fontId="5" fillId="17" borderId="0" xfId="3" applyFont="1" applyFill="1" applyBorder="1" applyAlignment="1" applyProtection="1">
      <alignment horizontal="center" vertical="center"/>
      <protection locked="0"/>
    </xf>
    <xf numFmtId="0" fontId="5" fillId="15" borderId="0" xfId="2" applyFont="1" applyFill="1" applyBorder="1" applyAlignment="1" applyProtection="1">
      <alignment horizontal="center" vertical="center"/>
      <protection locked="0"/>
    </xf>
    <xf numFmtId="0" fontId="5" fillId="18" borderId="0" xfId="1" applyFont="1" applyFill="1" applyBorder="1" applyAlignment="1" applyProtection="1">
      <alignment horizontal="center" vertical="center"/>
      <protection locked="0"/>
    </xf>
    <xf numFmtId="0" fontId="5" fillId="22" borderId="0" xfId="1" applyFont="1" applyFill="1" applyBorder="1" applyAlignment="1" applyProtection="1">
      <alignment horizontal="center" vertical="center"/>
      <protection locked="0"/>
    </xf>
    <xf numFmtId="0" fontId="5" fillId="16" borderId="0" xfId="0" applyFont="1" applyFill="1" applyBorder="1" applyAlignment="1" applyProtection="1">
      <alignment horizontal="center" vertical="center"/>
      <protection locked="0"/>
    </xf>
    <xf numFmtId="0" fontId="5" fillId="21" borderId="0" xfId="0" applyFont="1" applyFill="1" applyBorder="1" applyAlignment="1" applyProtection="1">
      <alignment horizontal="center" vertical="center"/>
      <protection locked="0"/>
    </xf>
    <xf numFmtId="0" fontId="24" fillId="0" borderId="0" xfId="0" applyFont="1" applyFill="1" applyBorder="1" applyAlignment="1" applyProtection="1">
      <alignment vertical="center"/>
    </xf>
    <xf numFmtId="0" fontId="5" fillId="0" borderId="0" xfId="0" applyFont="1" applyBorder="1" applyAlignment="1">
      <alignment horizontal="center" vertical="center" wrapText="1"/>
    </xf>
    <xf numFmtId="0" fontId="5" fillId="15" borderId="4" xfId="2" applyFont="1" applyFill="1" applyBorder="1" applyAlignment="1">
      <alignment horizontal="center" vertical="center"/>
    </xf>
    <xf numFmtId="0" fontId="5" fillId="17" borderId="2" xfId="3" applyFont="1" applyFill="1" applyBorder="1" applyAlignment="1">
      <alignment horizontal="center" vertical="center"/>
    </xf>
    <xf numFmtId="0" fontId="5" fillId="17" borderId="3" xfId="3" applyFont="1" applyFill="1" applyBorder="1" applyAlignment="1">
      <alignment horizontal="center" vertical="center"/>
    </xf>
    <xf numFmtId="0" fontId="5" fillId="17" borderId="2" xfId="3" applyFont="1" applyFill="1" applyBorder="1" applyAlignment="1">
      <alignment horizontal="left" vertical="center" wrapText="1"/>
    </xf>
    <xf numFmtId="0" fontId="5" fillId="17" borderId="2" xfId="3" applyFont="1" applyFill="1" applyBorder="1" applyAlignment="1" applyProtection="1">
      <alignment horizontal="center" vertical="center"/>
      <protection locked="0"/>
    </xf>
    <xf numFmtId="0" fontId="5" fillId="17" borderId="2" xfId="3" quotePrefix="1" applyFont="1" applyFill="1" applyBorder="1" applyAlignment="1">
      <alignment horizontal="center" vertical="center" wrapText="1"/>
    </xf>
    <xf numFmtId="0" fontId="5" fillId="17" borderId="13" xfId="3" applyFont="1" applyFill="1" applyBorder="1" applyAlignment="1">
      <alignment horizontal="center" vertical="center"/>
    </xf>
    <xf numFmtId="0" fontId="5" fillId="17" borderId="14" xfId="3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 vertical="top" wrapText="1"/>
    </xf>
    <xf numFmtId="0" fontId="21" fillId="0" borderId="0" xfId="0" applyFont="1" applyBorder="1" applyAlignment="1">
      <alignment horizontal="center" vertical="top" wrapText="1"/>
    </xf>
    <xf numFmtId="0" fontId="6" fillId="5" borderId="7" xfId="0" applyFont="1" applyFill="1" applyBorder="1" applyAlignment="1">
      <alignment horizontal="center" vertical="top" wrapText="1"/>
    </xf>
    <xf numFmtId="0" fontId="6" fillId="5" borderId="0" xfId="0" applyFont="1" applyFill="1" applyBorder="1" applyAlignment="1">
      <alignment horizontal="center" vertical="top" wrapText="1"/>
    </xf>
    <xf numFmtId="0" fontId="6" fillId="5" borderId="4" xfId="0" applyFont="1" applyFill="1" applyBorder="1" applyAlignment="1">
      <alignment horizontal="center" vertical="top" wrapText="1"/>
    </xf>
    <xf numFmtId="0" fontId="13" fillId="9" borderId="0" xfId="0" applyFont="1" applyFill="1" applyBorder="1" applyAlignment="1">
      <alignment horizontal="center" vertical="center"/>
    </xf>
    <xf numFmtId="0" fontId="12" fillId="8" borderId="0" xfId="0" applyFont="1" applyFill="1" applyBorder="1" applyAlignment="1">
      <alignment horizontal="center" vertical="center"/>
    </xf>
    <xf numFmtId="1" fontId="5" fillId="17" borderId="2" xfId="3" applyNumberFormat="1" applyFont="1" applyFill="1" applyBorder="1" applyAlignment="1">
      <alignment horizontal="center" vertical="center"/>
    </xf>
    <xf numFmtId="1" fontId="5" fillId="17" borderId="0" xfId="3" applyNumberFormat="1" applyFont="1" applyFill="1" applyBorder="1" applyAlignment="1">
      <alignment horizontal="center" vertical="center"/>
    </xf>
    <xf numFmtId="1" fontId="5" fillId="15" borderId="0" xfId="2" applyNumberFormat="1" applyFont="1" applyFill="1" applyBorder="1" applyAlignment="1">
      <alignment horizontal="center" vertical="center"/>
    </xf>
    <xf numFmtId="1" fontId="5" fillId="18" borderId="0" xfId="1" applyNumberFormat="1" applyFont="1" applyFill="1" applyBorder="1" applyAlignment="1">
      <alignment horizontal="center" vertical="center"/>
    </xf>
    <xf numFmtId="1" fontId="5" fillId="22" borderId="0" xfId="1" applyNumberFormat="1" applyFont="1" applyFill="1" applyBorder="1" applyAlignment="1">
      <alignment horizontal="center" vertical="center"/>
    </xf>
    <xf numFmtId="1" fontId="5" fillId="16" borderId="0" xfId="0" applyNumberFormat="1" applyFont="1" applyFill="1" applyBorder="1" applyAlignment="1">
      <alignment horizontal="center" vertical="center"/>
    </xf>
    <xf numFmtId="1" fontId="5" fillId="21" borderId="0" xfId="0" applyNumberFormat="1" applyFont="1" applyFill="1" applyBorder="1" applyAlignment="1">
      <alignment horizontal="center" vertical="center"/>
    </xf>
    <xf numFmtId="1" fontId="5" fillId="17" borderId="2" xfId="3" applyNumberFormat="1" applyFont="1" applyFill="1" applyBorder="1" applyAlignment="1" applyProtection="1">
      <alignment horizontal="center" vertical="center"/>
      <protection locked="0"/>
    </xf>
    <xf numFmtId="1" fontId="5" fillId="17" borderId="0" xfId="3" applyNumberFormat="1" applyFont="1" applyFill="1" applyBorder="1" applyAlignment="1" applyProtection="1">
      <alignment horizontal="center" vertical="center"/>
      <protection locked="0"/>
    </xf>
    <xf numFmtId="1" fontId="5" fillId="15" borderId="0" xfId="2" applyNumberFormat="1" applyFont="1" applyFill="1" applyBorder="1" applyAlignment="1" applyProtection="1">
      <alignment horizontal="center" vertical="center"/>
      <protection locked="0"/>
    </xf>
    <xf numFmtId="1" fontId="5" fillId="18" borderId="0" xfId="1" applyNumberFormat="1" applyFont="1" applyFill="1" applyBorder="1" applyAlignment="1" applyProtection="1">
      <alignment horizontal="center" vertical="center"/>
      <protection locked="0"/>
    </xf>
    <xf numFmtId="1" fontId="5" fillId="22" borderId="0" xfId="1" applyNumberFormat="1" applyFont="1" applyFill="1" applyBorder="1" applyAlignment="1" applyProtection="1">
      <alignment horizontal="center" vertical="center"/>
      <protection locked="0"/>
    </xf>
    <xf numFmtId="1" fontId="5" fillId="16" borderId="0" xfId="0" applyNumberFormat="1" applyFont="1" applyFill="1" applyBorder="1" applyAlignment="1" applyProtection="1">
      <alignment horizontal="center" vertical="center"/>
      <protection locked="0"/>
    </xf>
    <xf numFmtId="1" fontId="5" fillId="21" borderId="0" xfId="0" applyNumberFormat="1" applyFont="1" applyFill="1" applyBorder="1" applyAlignment="1" applyProtection="1">
      <alignment horizontal="center" vertical="center"/>
      <protection locked="0"/>
    </xf>
    <xf numFmtId="0" fontId="1" fillId="25" borderId="30" xfId="0" applyFont="1" applyFill="1" applyBorder="1" applyAlignment="1" applyProtection="1">
      <alignment horizontal="center" vertical="center"/>
      <protection locked="0"/>
    </xf>
    <xf numFmtId="0" fontId="5" fillId="6" borderId="6" xfId="2" applyFon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0" fontId="5" fillId="17" borderId="2" xfId="3" applyFont="1" applyFill="1" applyBorder="1" applyAlignment="1">
      <alignment horizontal="left" vertical="center"/>
    </xf>
    <xf numFmtId="0" fontId="5" fillId="17" borderId="0" xfId="3" applyFont="1" applyFill="1" applyBorder="1" applyAlignment="1">
      <alignment horizontal="left" vertical="center"/>
    </xf>
    <xf numFmtId="0" fontId="5" fillId="15" borderId="0" xfId="2" applyFont="1" applyFill="1" applyBorder="1" applyAlignment="1">
      <alignment horizontal="left" vertical="center"/>
    </xf>
    <xf numFmtId="0" fontId="5" fillId="18" borderId="0" xfId="1" applyFont="1" applyFill="1" applyBorder="1" applyAlignment="1">
      <alignment horizontal="left" vertical="center"/>
    </xf>
    <xf numFmtId="0" fontId="5" fillId="22" borderId="0" xfId="1" applyFont="1" applyFill="1" applyBorder="1" applyAlignment="1">
      <alignment horizontal="left" vertical="center"/>
    </xf>
    <xf numFmtId="0" fontId="5" fillId="16" borderId="0" xfId="0" applyFont="1" applyFill="1" applyBorder="1" applyAlignment="1">
      <alignment horizontal="left" vertical="center"/>
    </xf>
    <xf numFmtId="0" fontId="5" fillId="21" borderId="0" xfId="0" applyFont="1" applyFill="1" applyBorder="1" applyAlignment="1">
      <alignment horizontal="left" vertical="center"/>
    </xf>
    <xf numFmtId="0" fontId="5" fillId="16" borderId="23" xfId="0" applyFont="1" applyFill="1" applyBorder="1" applyAlignment="1">
      <alignment horizontal="center" vertical="center"/>
    </xf>
    <xf numFmtId="1" fontId="5" fillId="16" borderId="23" xfId="0" applyNumberFormat="1" applyFont="1" applyFill="1" applyBorder="1" applyAlignment="1">
      <alignment horizontal="center" vertical="center"/>
    </xf>
    <xf numFmtId="0" fontId="5" fillId="16" borderId="23" xfId="0" applyFont="1" applyFill="1" applyBorder="1" applyAlignment="1">
      <alignment horizontal="left" vertical="center"/>
    </xf>
    <xf numFmtId="0" fontId="5" fillId="16" borderId="23" xfId="0" applyFont="1" applyFill="1" applyBorder="1" applyAlignment="1">
      <alignment horizontal="left" vertical="center" wrapText="1"/>
    </xf>
    <xf numFmtId="0" fontId="5" fillId="16" borderId="23" xfId="0" applyFont="1" applyFill="1" applyBorder="1" applyAlignment="1" applyProtection="1">
      <alignment horizontal="center" vertical="center"/>
      <protection locked="0"/>
    </xf>
    <xf numFmtId="1" fontId="5" fillId="16" borderId="23" xfId="0" applyNumberFormat="1" applyFont="1" applyFill="1" applyBorder="1" applyAlignment="1" applyProtection="1">
      <alignment horizontal="center" vertical="center"/>
      <protection locked="0"/>
    </xf>
    <xf numFmtId="0" fontId="5" fillId="16" borderId="34" xfId="2" applyFont="1" applyFill="1" applyBorder="1" applyAlignment="1">
      <alignment horizontal="center" vertical="center"/>
    </xf>
    <xf numFmtId="0" fontId="5" fillId="16" borderId="23" xfId="2" applyFont="1" applyFill="1" applyBorder="1" applyAlignment="1">
      <alignment horizontal="center" vertical="center"/>
    </xf>
    <xf numFmtId="0" fontId="5" fillId="16" borderId="33" xfId="2" applyFon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 wrapText="1"/>
    </xf>
    <xf numFmtId="0" fontId="31" fillId="0" borderId="28" xfId="0" applyFont="1" applyBorder="1" applyAlignment="1">
      <alignment horizontal="center" vertical="center" wrapText="1"/>
    </xf>
    <xf numFmtId="0" fontId="31" fillId="0" borderId="28" xfId="0" applyFont="1" applyFill="1" applyBorder="1" applyAlignment="1">
      <alignment horizontal="center" vertical="center" wrapText="1"/>
    </xf>
    <xf numFmtId="0" fontId="5" fillId="21" borderId="0" xfId="2" applyFont="1" applyFill="1" applyBorder="1" applyAlignment="1">
      <alignment horizontal="center" vertical="center"/>
    </xf>
    <xf numFmtId="0" fontId="23" fillId="5" borderId="32" xfId="0" applyFont="1" applyFill="1" applyBorder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4" fillId="5" borderId="32" xfId="0" applyFont="1" applyFill="1" applyBorder="1" applyAlignment="1">
      <alignment horizontal="left" vertical="center" wrapText="1"/>
    </xf>
    <xf numFmtId="0" fontId="4" fillId="0" borderId="0" xfId="0" applyFont="1" applyFill="1" applyAlignment="1">
      <alignment horizontal="left" vertical="center" wrapText="1"/>
    </xf>
    <xf numFmtId="0" fontId="5" fillId="18" borderId="0" xfId="2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vertical="center"/>
    </xf>
    <xf numFmtId="0" fontId="5" fillId="17" borderId="1" xfId="3" applyFont="1" applyFill="1" applyBorder="1" applyAlignment="1">
      <alignment horizontal="center" vertical="center"/>
    </xf>
    <xf numFmtId="0" fontId="5" fillId="6" borderId="2" xfId="2" applyFont="1" applyFill="1" applyBorder="1" applyAlignment="1">
      <alignment horizontal="center" vertical="center"/>
    </xf>
    <xf numFmtId="0" fontId="5" fillId="17" borderId="4" xfId="3" applyFont="1" applyFill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18" borderId="4" xfId="1" applyFont="1" applyFill="1" applyBorder="1" applyAlignment="1">
      <alignment horizontal="center" vertical="center"/>
    </xf>
    <xf numFmtId="0" fontId="5" fillId="22" borderId="4" xfId="1" applyFont="1" applyFill="1" applyBorder="1" applyAlignment="1">
      <alignment horizontal="center" vertical="center"/>
    </xf>
    <xf numFmtId="0" fontId="5" fillId="16" borderId="4" xfId="0" applyFont="1" applyFill="1" applyBorder="1" applyAlignment="1">
      <alignment horizontal="center" vertical="center"/>
    </xf>
    <xf numFmtId="0" fontId="5" fillId="16" borderId="34" xfId="0" applyFont="1" applyFill="1" applyBorder="1" applyAlignment="1">
      <alignment horizontal="center" vertical="center"/>
    </xf>
    <xf numFmtId="0" fontId="5" fillId="21" borderId="4" xfId="0" applyFont="1" applyFill="1" applyBorder="1" applyAlignment="1">
      <alignment horizontal="center" vertical="center"/>
    </xf>
    <xf numFmtId="0" fontId="5" fillId="21" borderId="4" xfId="2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vertical="center"/>
    </xf>
    <xf numFmtId="0" fontId="0" fillId="0" borderId="0" xfId="0" applyFill="1" applyAlignment="1">
      <alignment horizontal="left"/>
    </xf>
    <xf numFmtId="0" fontId="17" fillId="0" borderId="28" xfId="0" applyFont="1" applyBorder="1" applyAlignment="1" applyProtection="1">
      <alignment horizontal="left" vertical="center"/>
      <protection locked="0"/>
    </xf>
    <xf numFmtId="0" fontId="17" fillId="0" borderId="0" xfId="0" applyFont="1" applyFill="1" applyBorder="1" applyAlignment="1">
      <alignment horizontal="left" vertical="center" wrapText="1"/>
    </xf>
    <xf numFmtId="0" fontId="0" fillId="0" borderId="28" xfId="0" applyBorder="1" applyAlignment="1">
      <alignment horizontal="left" vertical="center"/>
    </xf>
    <xf numFmtId="0" fontId="0" fillId="0" borderId="28" xfId="0" applyBorder="1" applyAlignment="1">
      <alignment horizontal="left" vertical="center" wrapText="1"/>
    </xf>
    <xf numFmtId="0" fontId="0" fillId="0" borderId="0" xfId="0" applyFill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5" fillId="17" borderId="5" xfId="3" applyFont="1" applyFill="1" applyBorder="1" applyAlignment="1">
      <alignment horizontal="center" vertical="center"/>
    </xf>
    <xf numFmtId="1" fontId="5" fillId="17" borderId="6" xfId="3" applyNumberFormat="1" applyFont="1" applyFill="1" applyBorder="1" applyAlignment="1">
      <alignment horizontal="center" vertical="center"/>
    </xf>
    <xf numFmtId="0" fontId="5" fillId="17" borderId="6" xfId="3" applyFont="1" applyFill="1" applyBorder="1" applyAlignment="1">
      <alignment horizontal="left" vertical="center"/>
    </xf>
    <xf numFmtId="0" fontId="5" fillId="17" borderId="6" xfId="3" applyFont="1" applyFill="1" applyBorder="1" applyAlignment="1">
      <alignment horizontal="left" vertical="center" wrapText="1"/>
    </xf>
    <xf numFmtId="0" fontId="5" fillId="17" borderId="6" xfId="3" applyFont="1" applyFill="1" applyBorder="1" applyAlignment="1">
      <alignment horizontal="center" vertical="center"/>
    </xf>
    <xf numFmtId="0" fontId="5" fillId="17" borderId="6" xfId="3" applyFont="1" applyFill="1" applyBorder="1" applyAlignment="1" applyProtection="1">
      <alignment horizontal="center" vertical="center"/>
      <protection locked="0"/>
    </xf>
    <xf numFmtId="1" fontId="5" fillId="17" borderId="6" xfId="3" applyNumberFormat="1" applyFont="1" applyFill="1" applyBorder="1" applyAlignment="1" applyProtection="1">
      <alignment horizontal="center" vertical="center"/>
      <protection locked="0"/>
    </xf>
    <xf numFmtId="0" fontId="5" fillId="17" borderId="36" xfId="3" applyFont="1" applyFill="1" applyBorder="1" applyAlignment="1">
      <alignment horizontal="center" vertical="center"/>
    </xf>
    <xf numFmtId="0" fontId="5" fillId="17" borderId="37" xfId="3" applyFont="1" applyFill="1" applyBorder="1" applyAlignment="1">
      <alignment horizontal="center" vertical="center"/>
    </xf>
    <xf numFmtId="0" fontId="5" fillId="17" borderId="16" xfId="3" applyFont="1" applyFill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18" borderId="19" xfId="2" applyFont="1" applyFill="1" applyBorder="1" applyAlignment="1">
      <alignment horizontal="center" vertical="center"/>
    </xf>
    <xf numFmtId="0" fontId="5" fillId="18" borderId="20" xfId="2" applyFont="1" applyFill="1" applyBorder="1" applyAlignment="1">
      <alignment horizontal="center" vertical="center"/>
    </xf>
    <xf numFmtId="0" fontId="5" fillId="18" borderId="22" xfId="2" applyFont="1" applyFill="1" applyBorder="1" applyAlignment="1">
      <alignment horizontal="center" vertical="center"/>
    </xf>
    <xf numFmtId="0" fontId="5" fillId="15" borderId="5" xfId="2" applyFont="1" applyFill="1" applyBorder="1" applyAlignment="1">
      <alignment horizontal="center" vertical="center"/>
    </xf>
    <xf numFmtId="1" fontId="5" fillId="15" borderId="6" xfId="2" applyNumberFormat="1" applyFont="1" applyFill="1" applyBorder="1" applyAlignment="1">
      <alignment horizontal="center" vertical="center"/>
    </xf>
    <xf numFmtId="0" fontId="5" fillId="15" borderId="6" xfId="2" applyFont="1" applyFill="1" applyBorder="1" applyAlignment="1">
      <alignment horizontal="left" vertical="center"/>
    </xf>
    <xf numFmtId="0" fontId="5" fillId="15" borderId="6" xfId="2" applyFont="1" applyFill="1" applyBorder="1" applyAlignment="1">
      <alignment horizontal="left" vertical="center" wrapText="1"/>
    </xf>
    <xf numFmtId="0" fontId="5" fillId="15" borderId="6" xfId="2" applyFont="1" applyFill="1" applyBorder="1" applyAlignment="1">
      <alignment horizontal="center" vertical="center"/>
    </xf>
    <xf numFmtId="0" fontId="5" fillId="15" borderId="6" xfId="2" applyFont="1" applyFill="1" applyBorder="1" applyAlignment="1" applyProtection="1">
      <alignment horizontal="center" vertical="center"/>
      <protection locked="0"/>
    </xf>
    <xf numFmtId="1" fontId="5" fillId="15" borderId="6" xfId="2" applyNumberFormat="1" applyFont="1" applyFill="1" applyBorder="1" applyAlignment="1" applyProtection="1">
      <alignment horizontal="center" vertical="center"/>
      <protection locked="0"/>
    </xf>
    <xf numFmtId="0" fontId="5" fillId="15" borderId="16" xfId="2" applyFont="1" applyFill="1" applyBorder="1" applyAlignment="1">
      <alignment horizontal="center" vertical="center"/>
    </xf>
    <xf numFmtId="0" fontId="5" fillId="18" borderId="5" xfId="1" applyFont="1" applyFill="1" applyBorder="1" applyAlignment="1">
      <alignment horizontal="center" vertical="center"/>
    </xf>
    <xf numFmtId="1" fontId="5" fillId="18" borderId="6" xfId="1" applyNumberFormat="1" applyFont="1" applyFill="1" applyBorder="1" applyAlignment="1">
      <alignment horizontal="center" vertical="center"/>
    </xf>
    <xf numFmtId="0" fontId="5" fillId="18" borderId="6" xfId="1" applyFont="1" applyFill="1" applyBorder="1" applyAlignment="1">
      <alignment horizontal="left" vertical="center"/>
    </xf>
    <xf numFmtId="0" fontId="5" fillId="18" borderId="6" xfId="1" applyFont="1" applyFill="1" applyBorder="1" applyAlignment="1">
      <alignment horizontal="left" vertical="center" wrapText="1"/>
    </xf>
    <xf numFmtId="0" fontId="5" fillId="18" borderId="6" xfId="1" applyFont="1" applyFill="1" applyBorder="1" applyAlignment="1">
      <alignment horizontal="center" vertical="center"/>
    </xf>
    <xf numFmtId="0" fontId="5" fillId="18" borderId="6" xfId="1" applyFont="1" applyFill="1" applyBorder="1" applyAlignment="1" applyProtection="1">
      <alignment horizontal="center" vertical="center"/>
      <protection locked="0"/>
    </xf>
    <xf numFmtId="1" fontId="5" fillId="18" borderId="6" xfId="1" applyNumberFormat="1" applyFont="1" applyFill="1" applyBorder="1" applyAlignment="1" applyProtection="1">
      <alignment horizontal="center" vertical="center"/>
      <protection locked="0"/>
    </xf>
    <xf numFmtId="0" fontId="5" fillId="18" borderId="36" xfId="2" applyFont="1" applyFill="1" applyBorder="1" applyAlignment="1">
      <alignment horizontal="center" vertical="center"/>
    </xf>
    <xf numFmtId="0" fontId="5" fillId="18" borderId="37" xfId="2" applyFont="1" applyFill="1" applyBorder="1" applyAlignment="1">
      <alignment horizontal="center" vertical="center"/>
    </xf>
    <xf numFmtId="0" fontId="5" fillId="18" borderId="38" xfId="2" applyFont="1" applyFill="1" applyBorder="1" applyAlignment="1">
      <alignment horizontal="center" vertical="center"/>
    </xf>
    <xf numFmtId="0" fontId="5" fillId="18" borderId="6" xfId="2" applyFont="1" applyFill="1" applyBorder="1" applyAlignment="1">
      <alignment horizontal="center" vertical="center"/>
    </xf>
    <xf numFmtId="0" fontId="5" fillId="18" borderId="16" xfId="2" applyFont="1" applyFill="1" applyBorder="1" applyAlignment="1">
      <alignment horizontal="center" vertical="center"/>
    </xf>
    <xf numFmtId="0" fontId="5" fillId="22" borderId="5" xfId="1" applyFont="1" applyFill="1" applyBorder="1" applyAlignment="1">
      <alignment horizontal="center" vertical="center"/>
    </xf>
    <xf numFmtId="1" fontId="5" fillId="22" borderId="6" xfId="1" applyNumberFormat="1" applyFont="1" applyFill="1" applyBorder="1" applyAlignment="1">
      <alignment horizontal="center" vertical="center"/>
    </xf>
    <xf numFmtId="0" fontId="5" fillId="22" borderId="6" xfId="1" applyFont="1" applyFill="1" applyBorder="1" applyAlignment="1">
      <alignment horizontal="left" vertical="center"/>
    </xf>
    <xf numFmtId="0" fontId="5" fillId="22" borderId="6" xfId="1" applyFont="1" applyFill="1" applyBorder="1" applyAlignment="1">
      <alignment horizontal="left" vertical="center" wrapText="1"/>
    </xf>
    <xf numFmtId="0" fontId="5" fillId="22" borderId="6" xfId="1" applyFont="1" applyFill="1" applyBorder="1" applyAlignment="1">
      <alignment horizontal="center" vertical="center"/>
    </xf>
    <xf numFmtId="0" fontId="5" fillId="22" borderId="6" xfId="1" applyFont="1" applyFill="1" applyBorder="1" applyAlignment="1" applyProtection="1">
      <alignment horizontal="center" vertical="center"/>
      <protection locked="0"/>
    </xf>
    <xf numFmtId="1" fontId="5" fillId="22" borderId="6" xfId="1" applyNumberFormat="1" applyFont="1" applyFill="1" applyBorder="1" applyAlignment="1" applyProtection="1">
      <alignment horizontal="center" vertical="center"/>
      <protection locked="0"/>
    </xf>
    <xf numFmtId="0" fontId="5" fillId="22" borderId="5" xfId="2" applyFont="1" applyFill="1" applyBorder="1" applyAlignment="1">
      <alignment horizontal="center" vertical="center"/>
    </xf>
    <xf numFmtId="0" fontId="5" fillId="22" borderId="6" xfId="2" applyFont="1" applyFill="1" applyBorder="1" applyAlignment="1">
      <alignment horizontal="center" vertical="center"/>
    </xf>
    <xf numFmtId="0" fontId="5" fillId="22" borderId="16" xfId="2" applyFont="1" applyFill="1" applyBorder="1" applyAlignment="1">
      <alignment horizontal="center" vertical="center"/>
    </xf>
    <xf numFmtId="0" fontId="5" fillId="0" borderId="33" xfId="0" applyFont="1" applyBorder="1" applyAlignment="1">
      <alignment horizontal="center" vertical="center"/>
    </xf>
    <xf numFmtId="0" fontId="0" fillId="0" borderId="0" xfId="0" applyAlignment="1">
      <alignment horizontal="right"/>
    </xf>
    <xf numFmtId="0" fontId="5" fillId="0" borderId="3" xfId="0" applyFont="1" applyBorder="1" applyAlignment="1">
      <alignment horizontal="center" vertical="center"/>
    </xf>
    <xf numFmtId="0" fontId="0" fillId="0" borderId="2" xfId="0" applyBorder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2" xfId="0" applyBorder="1" applyAlignment="1">
      <alignment horizontal="center"/>
    </xf>
    <xf numFmtId="0" fontId="6" fillId="0" borderId="0" xfId="0" applyFont="1" applyFill="1" applyBorder="1" applyAlignment="1" applyProtection="1">
      <alignment horizontal="center" vertical="center" wrapText="1"/>
      <protection locked="0"/>
    </xf>
    <xf numFmtId="0" fontId="6" fillId="25" borderId="9" xfId="0" applyFont="1" applyFill="1" applyBorder="1" applyAlignment="1" applyProtection="1">
      <alignment horizontal="center" vertical="center" wrapText="1"/>
      <protection locked="0"/>
    </xf>
    <xf numFmtId="0" fontId="25" fillId="0" borderId="0" xfId="0" applyFont="1" applyBorder="1" applyAlignment="1">
      <alignment horizontal="center" vertical="center"/>
    </xf>
    <xf numFmtId="0" fontId="16" fillId="24" borderId="8" xfId="0" applyFont="1" applyFill="1" applyBorder="1" applyAlignment="1">
      <alignment horizontal="center" vertical="center" wrapText="1"/>
    </xf>
    <xf numFmtId="0" fontId="16" fillId="24" borderId="9" xfId="0" applyFont="1" applyFill="1" applyBorder="1" applyAlignment="1">
      <alignment horizontal="center" vertical="center" wrapText="1"/>
    </xf>
    <xf numFmtId="0" fontId="16" fillId="24" borderId="12" xfId="0" applyFont="1" applyFill="1" applyBorder="1" applyAlignment="1">
      <alignment horizontal="center" vertical="center" wrapText="1"/>
    </xf>
    <xf numFmtId="0" fontId="7" fillId="25" borderId="8" xfId="0" applyFont="1" applyFill="1" applyBorder="1" applyAlignment="1">
      <alignment horizontal="center" vertical="center"/>
    </xf>
    <xf numFmtId="0" fontId="7" fillId="25" borderId="12" xfId="0" applyFont="1" applyFill="1" applyBorder="1" applyAlignment="1">
      <alignment horizontal="center" vertical="center"/>
    </xf>
    <xf numFmtId="0" fontId="17" fillId="26" borderId="8" xfId="0" applyFont="1" applyFill="1" applyBorder="1" applyAlignment="1">
      <alignment horizontal="center" vertical="center" wrapText="1"/>
    </xf>
    <xf numFmtId="0" fontId="17" fillId="26" borderId="9" xfId="0" applyFont="1" applyFill="1" applyBorder="1" applyAlignment="1">
      <alignment horizontal="center" vertical="center" wrapText="1"/>
    </xf>
    <xf numFmtId="0" fontId="17" fillId="26" borderId="12" xfId="0" applyFont="1" applyFill="1" applyBorder="1" applyAlignment="1">
      <alignment horizontal="center" vertical="center" wrapText="1"/>
    </xf>
    <xf numFmtId="0" fontId="7" fillId="25" borderId="8" xfId="0" applyFont="1" applyFill="1" applyBorder="1" applyAlignment="1" applyProtection="1">
      <alignment horizontal="center" vertical="center"/>
      <protection locked="0"/>
    </xf>
    <xf numFmtId="0" fontId="7" fillId="25" borderId="9" xfId="0" applyFont="1" applyFill="1" applyBorder="1" applyAlignment="1" applyProtection="1">
      <alignment horizontal="center" vertical="center"/>
      <protection locked="0"/>
    </xf>
    <xf numFmtId="0" fontId="7" fillId="25" borderId="12" xfId="0" applyFont="1" applyFill="1" applyBorder="1" applyAlignment="1" applyProtection="1">
      <alignment horizontal="center" vertical="center"/>
      <protection locked="0"/>
    </xf>
    <xf numFmtId="0" fontId="7" fillId="24" borderId="8" xfId="0" applyFont="1" applyFill="1" applyBorder="1" applyAlignment="1">
      <alignment horizontal="center" vertical="center"/>
    </xf>
    <xf numFmtId="0" fontId="7" fillId="24" borderId="9" xfId="0" applyFont="1" applyFill="1" applyBorder="1" applyAlignment="1">
      <alignment horizontal="center" vertical="center"/>
    </xf>
    <xf numFmtId="0" fontId="7" fillId="24" borderId="12" xfId="0" applyFont="1" applyFill="1" applyBorder="1" applyAlignment="1">
      <alignment horizontal="center" vertical="center"/>
    </xf>
    <xf numFmtId="0" fontId="4" fillId="26" borderId="8" xfId="0" applyFont="1" applyFill="1" applyBorder="1" applyAlignment="1" applyProtection="1">
      <alignment horizontal="center" vertical="center" wrapText="1"/>
      <protection locked="0"/>
    </xf>
    <xf numFmtId="0" fontId="4" fillId="26" borderId="9" xfId="0" applyFont="1" applyFill="1" applyBorder="1" applyAlignment="1" applyProtection="1">
      <alignment horizontal="center" vertical="center" wrapText="1"/>
      <protection locked="0"/>
    </xf>
    <xf numFmtId="0" fontId="4" fillId="26" borderId="12" xfId="0" applyFont="1" applyFill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20" borderId="35" xfId="0" applyFont="1" applyFill="1" applyBorder="1" applyAlignment="1">
      <alignment horizontal="center" vertical="center"/>
    </xf>
    <xf numFmtId="0" fontId="5" fillId="20" borderId="29" xfId="0" applyFont="1" applyFill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28" fillId="14" borderId="0" xfId="0" applyFont="1" applyFill="1" applyAlignment="1">
      <alignment horizontal="center" vertical="center" wrapText="1"/>
    </xf>
    <xf numFmtId="0" fontId="28" fillId="18" borderId="0" xfId="0" applyFont="1" applyFill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20" fillId="19" borderId="0" xfId="0" applyFont="1" applyFill="1" applyAlignment="1">
      <alignment horizontal="center" vertical="center"/>
    </xf>
    <xf numFmtId="0" fontId="28" fillId="11" borderId="0" xfId="0" applyFont="1" applyFill="1" applyAlignment="1">
      <alignment horizontal="center" vertical="center" wrapText="1"/>
    </xf>
    <xf numFmtId="0" fontId="28" fillId="12" borderId="0" xfId="0" applyFont="1" applyFill="1" applyAlignment="1">
      <alignment horizontal="center" vertical="center" wrapText="1"/>
    </xf>
    <xf numFmtId="0" fontId="14" fillId="13" borderId="0" xfId="0" applyFont="1" applyFill="1" applyAlignment="1">
      <alignment horizontal="center" vertical="center" wrapText="1"/>
    </xf>
    <xf numFmtId="0" fontId="5" fillId="0" borderId="35" xfId="0" applyFont="1" applyFill="1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/>
    </xf>
    <xf numFmtId="0" fontId="18" fillId="10" borderId="35" xfId="0" applyFont="1" applyFill="1" applyBorder="1" applyAlignment="1">
      <alignment horizontal="center" vertical="center"/>
    </xf>
    <xf numFmtId="0" fontId="18" fillId="10" borderId="29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/>
    </xf>
    <xf numFmtId="0" fontId="7" fillId="7" borderId="17" xfId="0" applyFont="1" applyFill="1" applyBorder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  <xf numFmtId="0" fontId="7" fillId="7" borderId="16" xfId="0" applyFont="1" applyFill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/>
    </xf>
    <xf numFmtId="164" fontId="2" fillId="0" borderId="4" xfId="0" applyNumberFormat="1" applyFont="1" applyBorder="1" applyAlignment="1">
      <alignment horizontal="center" vertical="center"/>
    </xf>
    <xf numFmtId="164" fontId="2" fillId="0" borderId="17" xfId="0" applyNumberFormat="1" applyFont="1" applyBorder="1" applyAlignment="1">
      <alignment horizontal="center" vertical="center"/>
    </xf>
    <xf numFmtId="164" fontId="2" fillId="0" borderId="5" xfId="0" applyNumberFormat="1" applyFont="1" applyBorder="1" applyAlignment="1">
      <alignment horizontal="center" vertical="center"/>
    </xf>
    <xf numFmtId="164" fontId="2" fillId="0" borderId="16" xfId="0" applyNumberFormat="1" applyFont="1" applyBorder="1" applyAlignment="1">
      <alignment horizontal="center" vertical="center"/>
    </xf>
    <xf numFmtId="0" fontId="5" fillId="0" borderId="35" xfId="1" applyFont="1" applyFill="1" applyBorder="1" applyAlignment="1">
      <alignment horizontal="center" vertical="center"/>
    </xf>
    <xf numFmtId="0" fontId="5" fillId="0" borderId="29" xfId="1" applyFont="1" applyFill="1" applyBorder="1" applyAlignment="1">
      <alignment horizontal="center" vertical="center"/>
    </xf>
    <xf numFmtId="0" fontId="4" fillId="0" borderId="35" xfId="1" applyFont="1" applyFill="1" applyBorder="1" applyAlignment="1">
      <alignment horizontal="center" vertical="center"/>
    </xf>
    <xf numFmtId="0" fontId="4" fillId="0" borderId="29" xfId="1" applyFont="1" applyFill="1" applyBorder="1" applyAlignment="1">
      <alignment horizontal="center" vertical="center"/>
    </xf>
    <xf numFmtId="0" fontId="4" fillId="0" borderId="35" xfId="0" applyFont="1" applyFill="1" applyBorder="1" applyAlignment="1">
      <alignment horizontal="center" vertical="center"/>
    </xf>
    <xf numFmtId="0" fontId="4" fillId="0" borderId="29" xfId="0" applyFont="1" applyFill="1" applyBorder="1" applyAlignment="1">
      <alignment horizontal="center" vertical="center"/>
    </xf>
  </cellXfs>
  <cellStyles count="5">
    <cellStyle name="60% - Énfasis2" xfId="1" builtinId="36"/>
    <cellStyle name="60% - Énfasis4" xfId="2" builtinId="44"/>
    <cellStyle name="60% - Énfasis6" xfId="3" builtinId="52"/>
    <cellStyle name="Normal" xfId="0" builtinId="0"/>
    <cellStyle name="Porcentaje" xfId="4" builtinId="5"/>
  </cellStyles>
  <dxfs count="105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8"/>
          <bgColor theme="8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alignment horizontal="left" textRotation="0" indent="0" justifyLastLine="0" shrinkToFit="0" readingOrder="0"/>
    </dxf>
    <dxf>
      <alignment horizontal="left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AB0B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AB0B0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theme="0"/>
        </top>
        <bottom style="thin">
          <color theme="0"/>
        </bottom>
        <vertic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AB0B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AB0B0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rgb="FFFAB0B0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AB0B0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rgb="FFFAB0B0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color theme="0"/>
      </font>
      <fill>
        <patternFill>
          <bgColor rgb="FFED7F3B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rgb="FFAF6CF8"/>
        </patternFill>
      </fill>
    </dxf>
    <dxf>
      <font>
        <color theme="0"/>
      </font>
      <fill>
        <patternFill>
          <bgColor rgb="FFE05656"/>
        </patternFill>
      </fill>
    </dxf>
    <dxf>
      <font>
        <color theme="0"/>
      </font>
      <fill>
        <patternFill>
          <bgColor rgb="FF8FA2FF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9353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93535"/>
        </patternFill>
      </fill>
    </dxf>
  </dxfs>
  <tableStyles count="0" defaultTableStyle="TableStyleMedium2" defaultPivotStyle="PivotStyleLight16"/>
  <colors>
    <mruColors>
      <color rgb="FFFFB469"/>
      <color rgb="FFFF9D3B"/>
      <color rgb="FFF30B11"/>
      <color rgb="FFDD4B4B"/>
      <color rgb="FFE095F5"/>
      <color rgb="FFFFD1D1"/>
      <color rgb="FFFAB0B0"/>
      <color rgb="FFEF5F5F"/>
      <color rgb="FFAF6CF8"/>
      <color rgb="FFCC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microsoft.com/office/2007/relationships/slicerCache" Target="slicerCaches/slicerCache1.xml"/><Relationship Id="rId7" Type="http://schemas.microsoft.com/office/2007/relationships/slicerCache" Target="slicerCaches/slicerCache5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4.xml"/><Relationship Id="rId11" Type="http://schemas.openxmlformats.org/officeDocument/2006/relationships/sheetMetadata" Target="metadata.xml"/><Relationship Id="rId5" Type="http://schemas.microsoft.com/office/2007/relationships/slicerCache" Target="slicerCaches/slicerCache3.xml"/><Relationship Id="rId10" Type="http://schemas.openxmlformats.org/officeDocument/2006/relationships/sharedStrings" Target="sharedStrings.xml"/><Relationship Id="rId4" Type="http://schemas.microsoft.com/office/2007/relationships/slicerCache" Target="slicerCaches/slicerCache2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svg"/><Relationship Id="rId2" Type="http://schemas.openxmlformats.org/officeDocument/2006/relationships/image" Target="../media/image5.png"/><Relationship Id="rId1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30</xdr:col>
      <xdr:colOff>230871</xdr:colOff>
      <xdr:row>2</xdr:row>
      <xdr:rowOff>112735</xdr:rowOff>
    </xdr:from>
    <xdr:to>
      <xdr:col>33</xdr:col>
      <xdr:colOff>126096</xdr:colOff>
      <xdr:row>25</xdr:row>
      <xdr:rowOff>55585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>
          <a:grpSpLocks noChangeAspect="1"/>
        </xdr:cNvGrpSpPr>
      </xdr:nvGrpSpPr>
      <xdr:grpSpPr>
        <a:xfrm>
          <a:off x="13632546" y="789010"/>
          <a:ext cx="4410075" cy="5848350"/>
          <a:chOff x="12198569" y="893379"/>
          <a:chExt cx="4403768" cy="11362016"/>
        </a:xfrm>
      </xdr:grpSpPr>
      <mc:AlternateContent xmlns:mc="http://schemas.openxmlformats.org/markup-compatibility/2006" xmlns:a14="http://schemas.microsoft.com/office/drawing/2010/main">
        <mc:Choice Requires="a14">
          <xdr:pic>
            <xdr:nvPicPr>
              <xdr:cNvPr id="23" name="Imagen 22">
                <a:extLst>
                  <a:ext uri="{FF2B5EF4-FFF2-40B4-BE49-F238E27FC236}">
                    <a16:creationId xmlns:a16="http://schemas.microsoft.com/office/drawing/2014/main" id="{00000000-0008-0000-0000-000017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Control!$A$1:$K$36" spid="_x0000_s3674"/>
                  </a:ext>
                </a:extLst>
              </xdr:cNvPicPr>
            </xdr:nvPicPr>
            <xdr:blipFill>
              <a:blip xmlns:r="http://schemas.openxmlformats.org/officeDocument/2006/relationships" r:embed="rId1"/>
              <a:stretch>
                <a:fillRect/>
              </a:stretch>
            </xdr:blipFill>
            <xdr:spPr bwMode="auto">
              <a:xfrm>
                <a:off x="12198569" y="893379"/>
                <a:ext cx="4403768" cy="11362016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xdr:sp macro="[0]!MostrarMateriasFaltantesAnalista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Aspect="1"/>
          </xdr:cNvSpPr>
        </xdr:nvSpPr>
        <xdr:spPr>
          <a:xfrm>
            <a:off x="12277309" y="5046443"/>
            <a:ext cx="898713" cy="706332"/>
          </a:xfrm>
          <a:prstGeom prst="roundRect">
            <a:avLst>
              <a:gd name="adj" fmla="val 18362"/>
            </a:avLst>
          </a:prstGeom>
          <a:solidFill>
            <a:schemeClr val="accent1">
              <a:alpha val="63137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es-AR" sz="1400" b="1" kern="1200">
                <a:solidFill>
                  <a:schemeClr val="bg1"/>
                </a:solidFill>
              </a:rPr>
              <a:t>Mostrar</a:t>
            </a:r>
          </a:p>
        </xdr:txBody>
      </xdr:sp>
      <xdr:sp macro="[0]!MostrarMateriasFaltantesIngeniero" textlink="">
        <xdr:nvSpPr>
          <xdr:cNvPr id="5" name="Rectángulo: esquinas redondeadas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Aspect="1"/>
          </xdr:cNvSpPr>
        </xdr:nvSpPr>
        <xdr:spPr>
          <a:xfrm>
            <a:off x="14537319" y="5047902"/>
            <a:ext cx="898713" cy="706332"/>
          </a:xfrm>
          <a:prstGeom prst="roundRect">
            <a:avLst>
              <a:gd name="adj" fmla="val 18362"/>
            </a:avLst>
          </a:prstGeom>
          <a:solidFill>
            <a:srgbClr val="DD4B4B">
              <a:alpha val="63137"/>
            </a:srgb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es-AR" sz="1400" b="1" kern="1200">
                <a:solidFill>
                  <a:schemeClr val="bg1"/>
                </a:solidFill>
              </a:rPr>
              <a:t>Mostrar</a:t>
            </a:r>
          </a:p>
        </xdr:txBody>
      </xdr:sp>
      <xdr:sp macro="[0]!MostrarMateriasDisponibles" textlink="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Aspect="1"/>
          </xdr:cNvSpPr>
        </xdr:nvSpPr>
        <xdr:spPr>
          <a:xfrm>
            <a:off x="12295094" y="8627022"/>
            <a:ext cx="898713" cy="706332"/>
          </a:xfrm>
          <a:prstGeom prst="roundRect">
            <a:avLst>
              <a:gd name="adj" fmla="val 18362"/>
            </a:avLst>
          </a:prstGeom>
          <a:solidFill>
            <a:schemeClr val="accent2">
              <a:alpha val="63137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es-AR" sz="1400" b="1" kern="1200">
                <a:solidFill>
                  <a:schemeClr val="bg1"/>
                </a:solidFill>
              </a:rPr>
              <a:t>Mostrar</a:t>
            </a:r>
          </a:p>
        </xdr:txBody>
      </xdr:sp>
    </xdr:grpSp>
    <xdr:clientData/>
  </xdr:twoCellAnchor>
  <xdr:twoCellAnchor editAs="absolute">
    <xdr:from>
      <xdr:col>13</xdr:col>
      <xdr:colOff>201629</xdr:colOff>
      <xdr:row>6</xdr:row>
      <xdr:rowOff>19817</xdr:rowOff>
    </xdr:from>
    <xdr:to>
      <xdr:col>15</xdr:col>
      <xdr:colOff>215373</xdr:colOff>
      <xdr:row>7</xdr:row>
      <xdr:rowOff>181235</xdr:rowOff>
    </xdr:to>
    <xdr:grpSp>
      <xdr:nvGrpSpPr>
        <xdr:cNvPr id="9" name="Grupo 8" descr="LIMPIAR FILTROS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0136204" y="1867667"/>
          <a:ext cx="509044" cy="523368"/>
          <a:chOff x="10443368" y="889729"/>
          <a:chExt cx="516646" cy="516647"/>
        </a:xfrm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[0]!LimpiarEstado" textlink="">
        <xdr:nvSpPr>
          <xdr:cNvPr id="7" name="Forma libre: forma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10631685" y="889729"/>
            <a:ext cx="328329" cy="328329"/>
          </a:xfrm>
          <a:custGeom>
            <a:avLst/>
            <a:gdLst>
              <a:gd name="connsiteX0" fmla="*/ 299889 w 328329"/>
              <a:gd name="connsiteY0" fmla="*/ 45854 h 328329"/>
              <a:gd name="connsiteX1" fmla="*/ 282476 w 328329"/>
              <a:gd name="connsiteY1" fmla="*/ 45854 h 328329"/>
              <a:gd name="connsiteX2" fmla="*/ 282476 w 328329"/>
              <a:gd name="connsiteY2" fmla="*/ 28441 h 328329"/>
              <a:gd name="connsiteX3" fmla="*/ 299889 w 328329"/>
              <a:gd name="connsiteY3" fmla="*/ 28441 h 328329"/>
              <a:gd name="connsiteX4" fmla="*/ 299889 w 328329"/>
              <a:gd name="connsiteY4" fmla="*/ 45854 h 328329"/>
              <a:gd name="connsiteX5" fmla="*/ 317302 w 328329"/>
              <a:gd name="connsiteY5" fmla="*/ 11028 h 328329"/>
              <a:gd name="connsiteX6" fmla="*/ 274737 w 328329"/>
              <a:gd name="connsiteY6" fmla="*/ 3934 h 328329"/>
              <a:gd name="connsiteX7" fmla="*/ 240556 w 328329"/>
              <a:gd name="connsiteY7" fmla="*/ 35535 h 328329"/>
              <a:gd name="connsiteX8" fmla="*/ 129629 w 328329"/>
              <a:gd name="connsiteY8" fmla="*/ 176773 h 328329"/>
              <a:gd name="connsiteX9" fmla="*/ 43855 w 328329"/>
              <a:gd name="connsiteY9" fmla="*/ 91644 h 328329"/>
              <a:gd name="connsiteX10" fmla="*/ 25797 w 328329"/>
              <a:gd name="connsiteY10" fmla="*/ 91644 h 328329"/>
              <a:gd name="connsiteX11" fmla="*/ 0 w 328329"/>
              <a:gd name="connsiteY11" fmla="*/ 117440 h 328329"/>
              <a:gd name="connsiteX12" fmla="*/ 210889 w 328329"/>
              <a:gd name="connsiteY12" fmla="*/ 328330 h 328329"/>
              <a:gd name="connsiteX13" fmla="*/ 236686 w 328329"/>
              <a:gd name="connsiteY13" fmla="*/ 302533 h 328329"/>
              <a:gd name="connsiteX14" fmla="*/ 236686 w 328329"/>
              <a:gd name="connsiteY14" fmla="*/ 284475 h 328329"/>
              <a:gd name="connsiteX15" fmla="*/ 151557 w 328329"/>
              <a:gd name="connsiteY15" fmla="*/ 198701 h 328329"/>
              <a:gd name="connsiteX16" fmla="*/ 292795 w 328329"/>
              <a:gd name="connsiteY16" fmla="*/ 87774 h 328329"/>
              <a:gd name="connsiteX17" fmla="*/ 324396 w 328329"/>
              <a:gd name="connsiteY17" fmla="*/ 53593 h 328329"/>
              <a:gd name="connsiteX18" fmla="*/ 317302 w 328329"/>
              <a:gd name="connsiteY18" fmla="*/ 11028 h 32832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328329" h="328329">
                <a:moveTo>
                  <a:pt x="299889" y="45854"/>
                </a:moveTo>
                <a:cubicBezTo>
                  <a:pt x="294729" y="51013"/>
                  <a:pt x="286990" y="51013"/>
                  <a:pt x="282476" y="45854"/>
                </a:cubicBezTo>
                <a:cubicBezTo>
                  <a:pt x="277316" y="40695"/>
                  <a:pt x="277316" y="32956"/>
                  <a:pt x="282476" y="28441"/>
                </a:cubicBezTo>
                <a:cubicBezTo>
                  <a:pt x="287635" y="23927"/>
                  <a:pt x="295374" y="23282"/>
                  <a:pt x="299889" y="28441"/>
                </a:cubicBezTo>
                <a:cubicBezTo>
                  <a:pt x="304403" y="33601"/>
                  <a:pt x="304403" y="41340"/>
                  <a:pt x="299889" y="45854"/>
                </a:cubicBezTo>
                <a:close/>
                <a:moveTo>
                  <a:pt x="317302" y="11028"/>
                </a:moveTo>
                <a:cubicBezTo>
                  <a:pt x="305693" y="-580"/>
                  <a:pt x="288925" y="-3160"/>
                  <a:pt x="274737" y="3934"/>
                </a:cubicBezTo>
                <a:cubicBezTo>
                  <a:pt x="266998" y="7159"/>
                  <a:pt x="240556" y="35535"/>
                  <a:pt x="240556" y="35535"/>
                </a:cubicBezTo>
                <a:cubicBezTo>
                  <a:pt x="201216" y="74876"/>
                  <a:pt x="148977" y="139368"/>
                  <a:pt x="129629" y="176773"/>
                </a:cubicBezTo>
                <a:lnTo>
                  <a:pt x="43855" y="91644"/>
                </a:lnTo>
                <a:cubicBezTo>
                  <a:pt x="38695" y="86484"/>
                  <a:pt x="30956" y="86484"/>
                  <a:pt x="25797" y="91644"/>
                </a:cubicBezTo>
                <a:lnTo>
                  <a:pt x="0" y="117440"/>
                </a:lnTo>
                <a:lnTo>
                  <a:pt x="210889" y="328330"/>
                </a:lnTo>
                <a:lnTo>
                  <a:pt x="236686" y="302533"/>
                </a:lnTo>
                <a:cubicBezTo>
                  <a:pt x="241846" y="297374"/>
                  <a:pt x="241846" y="289635"/>
                  <a:pt x="236686" y="284475"/>
                </a:cubicBezTo>
                <a:lnTo>
                  <a:pt x="151557" y="198701"/>
                </a:lnTo>
                <a:cubicBezTo>
                  <a:pt x="189607" y="178708"/>
                  <a:pt x="253454" y="127114"/>
                  <a:pt x="292795" y="87774"/>
                </a:cubicBezTo>
                <a:cubicBezTo>
                  <a:pt x="292795" y="87774"/>
                  <a:pt x="321171" y="60687"/>
                  <a:pt x="324396" y="53593"/>
                </a:cubicBezTo>
                <a:cubicBezTo>
                  <a:pt x="331490" y="39405"/>
                  <a:pt x="328910" y="22637"/>
                  <a:pt x="317302" y="11028"/>
                </a:cubicBezTo>
                <a:close/>
              </a:path>
            </a:pathLst>
          </a:custGeom>
          <a:solidFill>
            <a:srgbClr val="C00000"/>
          </a:solidFill>
          <a:ln w="12700" cap="flat">
            <a:solidFill>
              <a:schemeClr val="dk1"/>
            </a:solidFill>
            <a:prstDash val="solid"/>
            <a:miter/>
          </a:ln>
        </xdr:spPr>
        <xdr:txBody>
          <a:bodyPr rtlCol="0" anchor="ctr"/>
          <a:lstStyle/>
          <a:p>
            <a:endParaRPr lang="es-AR"/>
          </a:p>
        </xdr:txBody>
      </xdr:sp>
      <xdr:sp macro="[0]!LimpiarEstado" textlink="">
        <xdr:nvSpPr>
          <xdr:cNvPr id="8" name="Forma libre: forma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10443368" y="1027162"/>
            <a:ext cx="379214" cy="379214"/>
          </a:xfrm>
          <a:custGeom>
            <a:avLst/>
            <a:gdLst>
              <a:gd name="connsiteX0" fmla="*/ 3870 w 379214"/>
              <a:gd name="connsiteY0" fmla="*/ 164455 h 379214"/>
              <a:gd name="connsiteX1" fmla="*/ 3870 w 379214"/>
              <a:gd name="connsiteY1" fmla="*/ 182513 h 379214"/>
              <a:gd name="connsiteX2" fmla="*/ 161875 w 379214"/>
              <a:gd name="connsiteY2" fmla="*/ 340519 h 379214"/>
              <a:gd name="connsiteX3" fmla="*/ 276027 w 379214"/>
              <a:gd name="connsiteY3" fmla="*/ 226368 h 379214"/>
              <a:gd name="connsiteX4" fmla="*/ 285055 w 379214"/>
              <a:gd name="connsiteY4" fmla="*/ 235397 h 379214"/>
              <a:gd name="connsiteX5" fmla="*/ 179288 w 379214"/>
              <a:gd name="connsiteY5" fmla="*/ 357932 h 379214"/>
              <a:gd name="connsiteX6" fmla="*/ 196701 w 379214"/>
              <a:gd name="connsiteY6" fmla="*/ 375345 h 379214"/>
              <a:gd name="connsiteX7" fmla="*/ 214759 w 379214"/>
              <a:gd name="connsiteY7" fmla="*/ 375345 h 379214"/>
              <a:gd name="connsiteX8" fmla="*/ 379214 w 379214"/>
              <a:gd name="connsiteY8" fmla="*/ 210889 h 379214"/>
              <a:gd name="connsiteX9" fmla="*/ 168325 w 379214"/>
              <a:gd name="connsiteY9" fmla="*/ 0 h 379214"/>
              <a:gd name="connsiteX10" fmla="*/ 3870 w 379214"/>
              <a:gd name="connsiteY10" fmla="*/ 164455 h 37921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</a:cxnLst>
            <a:rect l="l" t="t" r="r" b="b"/>
            <a:pathLst>
              <a:path w="379214" h="379214">
                <a:moveTo>
                  <a:pt x="3870" y="164455"/>
                </a:moveTo>
                <a:cubicBezTo>
                  <a:pt x="-1290" y="169614"/>
                  <a:pt x="-1290" y="177354"/>
                  <a:pt x="3870" y="182513"/>
                </a:cubicBezTo>
                <a:lnTo>
                  <a:pt x="161875" y="340519"/>
                </a:lnTo>
                <a:lnTo>
                  <a:pt x="276027" y="226368"/>
                </a:lnTo>
                <a:lnTo>
                  <a:pt x="285055" y="235397"/>
                </a:lnTo>
                <a:lnTo>
                  <a:pt x="179288" y="357932"/>
                </a:lnTo>
                <a:lnTo>
                  <a:pt x="196701" y="375345"/>
                </a:lnTo>
                <a:cubicBezTo>
                  <a:pt x="201861" y="380504"/>
                  <a:pt x="209600" y="380504"/>
                  <a:pt x="214759" y="375345"/>
                </a:cubicBezTo>
                <a:lnTo>
                  <a:pt x="379214" y="210889"/>
                </a:lnTo>
                <a:lnTo>
                  <a:pt x="168325" y="0"/>
                </a:lnTo>
                <a:lnTo>
                  <a:pt x="3870" y="164455"/>
                </a:lnTo>
                <a:close/>
              </a:path>
            </a:pathLst>
          </a:custGeom>
          <a:solidFill>
            <a:schemeClr val="accent4">
              <a:lumMod val="40000"/>
              <a:lumOff val="60000"/>
            </a:schemeClr>
          </a:solidFill>
          <a:ln w="12700" cap="flat">
            <a:solidFill>
              <a:schemeClr val="dk1"/>
            </a:solidFill>
            <a:prstDash val="solid"/>
            <a:miter/>
          </a:ln>
        </xdr:spPr>
        <xdr:txBody>
          <a:bodyPr rtlCol="0" anchor="ctr"/>
          <a:lstStyle/>
          <a:p>
            <a:endParaRPr lang="es-AR"/>
          </a:p>
        </xdr:txBody>
      </xdr:sp>
    </xdr:grpSp>
    <xdr:clientData/>
  </xdr:twoCellAnchor>
  <xdr:twoCellAnchor editAs="absolute">
    <xdr:from>
      <xdr:col>4</xdr:col>
      <xdr:colOff>3971305</xdr:colOff>
      <xdr:row>3</xdr:row>
      <xdr:rowOff>18214</xdr:rowOff>
    </xdr:from>
    <xdr:to>
      <xdr:col>5</xdr:col>
      <xdr:colOff>222215</xdr:colOff>
      <xdr:row>6</xdr:row>
      <xdr:rowOff>219330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" name="Cursar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ursa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49571" y="885317"/>
              <a:ext cx="1438422" cy="118646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3971305</xdr:colOff>
      <xdr:row>6</xdr:row>
      <xdr:rowOff>257916</xdr:rowOff>
    </xdr:from>
    <xdr:to>
      <xdr:col>5</xdr:col>
      <xdr:colOff>222215</xdr:colOff>
      <xdr:row>9</xdr:row>
      <xdr:rowOff>161925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1" name="Electiva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lec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49571" y="2110364"/>
              <a:ext cx="1438422" cy="9550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616399</xdr:colOff>
      <xdr:row>6</xdr:row>
      <xdr:rowOff>16743</xdr:rowOff>
    </xdr:from>
    <xdr:to>
      <xdr:col>4</xdr:col>
      <xdr:colOff>3854164</xdr:colOff>
      <xdr:row>9</xdr:row>
      <xdr:rowOff>161924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Modalidad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dalida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5980" y="1869191"/>
              <a:ext cx="3236450" cy="119621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616399</xdr:colOff>
      <xdr:row>3</xdr:row>
      <xdr:rowOff>18214</xdr:rowOff>
    </xdr:from>
    <xdr:to>
      <xdr:col>4</xdr:col>
      <xdr:colOff>3854164</xdr:colOff>
      <xdr:row>5</xdr:row>
      <xdr:rowOff>178714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2" name="Estado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5980" y="885317"/>
              <a:ext cx="3236450" cy="9356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1</xdr:col>
      <xdr:colOff>2953</xdr:colOff>
      <xdr:row>3</xdr:row>
      <xdr:rowOff>18214</xdr:rowOff>
    </xdr:from>
    <xdr:to>
      <xdr:col>4</xdr:col>
      <xdr:colOff>503701</xdr:colOff>
      <xdr:row>9</xdr:row>
      <xdr:rowOff>161924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NIVEL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IVE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0022" y="885317"/>
              <a:ext cx="1078817" cy="21800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4457928</xdr:colOff>
      <xdr:row>3</xdr:row>
      <xdr:rowOff>2842</xdr:rowOff>
    </xdr:from>
    <xdr:to>
      <xdr:col>4</xdr:col>
      <xdr:colOff>4752091</xdr:colOff>
      <xdr:row>3</xdr:row>
      <xdr:rowOff>293339</xdr:rowOff>
    </xdr:to>
    <xdr:pic macro="[0]!MostrarMateriasDisponibles">
      <xdr:nvPicPr>
        <xdr:cNvPr id="14" name="Gráfico 13" descr="Ojo con relleno sólido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236194" y="869945"/>
          <a:ext cx="294163" cy="29049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2</xdr:row>
          <xdr:rowOff>180975</xdr:rowOff>
        </xdr:from>
        <xdr:to>
          <xdr:col>12</xdr:col>
          <xdr:colOff>142875</xdr:colOff>
          <xdr:row>4</xdr:row>
          <xdr:rowOff>0</xdr:rowOff>
        </xdr:to>
        <xdr:sp macro="" textlink="">
          <xdr:nvSpPr>
            <xdr:cNvPr id="1876" name="TextBox1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0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142875</xdr:colOff>
          <xdr:row>2</xdr:row>
          <xdr:rowOff>180975</xdr:rowOff>
        </xdr:from>
        <xdr:to>
          <xdr:col>12</xdr:col>
          <xdr:colOff>276225</xdr:colOff>
          <xdr:row>4</xdr:row>
          <xdr:rowOff>0</xdr:rowOff>
        </xdr:to>
        <xdr:sp macro="" textlink="">
          <xdr:nvSpPr>
            <xdr:cNvPr id="1731" name="ComboBox1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0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4238625</xdr:colOff>
          <xdr:row>10</xdr:row>
          <xdr:rowOff>66675</xdr:rowOff>
        </xdr:from>
        <xdr:to>
          <xdr:col>4</xdr:col>
          <xdr:colOff>4524375</xdr:colOff>
          <xdr:row>10</xdr:row>
          <xdr:rowOff>352425</xdr:rowOff>
        </xdr:to>
        <xdr:sp macro="" textlink="">
          <xdr:nvSpPr>
            <xdr:cNvPr id="3269" name="CommandButton1" hidden="1">
              <a:extLst>
                <a:ext uri="{63B3BB69-23CF-44E3-9099-C40C66FF867C}">
                  <a14:compatExt spid="_x0000_s3269"/>
                </a:ext>
                <a:ext uri="{FF2B5EF4-FFF2-40B4-BE49-F238E27FC236}">
                  <a16:creationId xmlns:a16="http://schemas.microsoft.com/office/drawing/2014/main" id="{00000000-0008-0000-0000-0000C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odalidad" xr10:uid="{3D0E8E42-B1B3-437D-8783-B046B50CEBFA}" sourceName="Modalidad">
  <extLst>
    <x:ext xmlns:x15="http://schemas.microsoft.com/office/spreadsheetml/2010/11/main" uri="{2F2917AC-EB37-4324-AD4E-5DD8C200BD13}">
      <x15:tableSlicerCache tableId="1" column="3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ursar" xr10:uid="{E6069128-784B-4B09-857C-613278A673F8}" sourceName="Cursar">
  <extLst>
    <x:ext xmlns:x15="http://schemas.microsoft.com/office/spreadsheetml/2010/11/main" uri="{2F2917AC-EB37-4324-AD4E-5DD8C200BD13}">
      <x15:tableSlicerCache tableId="1" column="17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lectiva" xr10:uid="{5237DF4E-465B-4BCF-80EC-6051F3F807D9}" sourceName="Electiva">
  <extLst>
    <x:ext xmlns:x15="http://schemas.microsoft.com/office/spreadsheetml/2010/11/main" uri="{2F2917AC-EB37-4324-AD4E-5DD8C200BD13}">
      <x15:tableSlicerCache tableId="1" column="18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stado" xr10:uid="{F03FB86B-3F40-4B53-A462-CE7541016A1A}" sourceName="Estado">
  <extLst>
    <x:ext xmlns:x15="http://schemas.microsoft.com/office/spreadsheetml/2010/11/main" uri="{2F2917AC-EB37-4324-AD4E-5DD8C200BD13}">
      <x15:tableSlicerCache tableId="1" column="10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IVEL" xr10:uid="{1FF9495C-EC02-4E56-B713-7CC1A6A5EB40}" sourceName="Nivel">
  <extLst>
    <x:ext xmlns:x15="http://schemas.microsoft.com/office/spreadsheetml/2010/11/main" uri="{2F2917AC-EB37-4324-AD4E-5DD8C200BD13}">
      <x15:tableSlicerCache tableId="1" column="22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odalidad" xr10:uid="{024B880A-2AB3-4DA4-9A45-5FA92E705829}" cache="SegmentaciónDeDatos_Modalidad" caption="Modalidad" columnCount="3" lockedPosition="1" rowHeight="241300"/>
  <slicer name="Cursar" xr10:uid="{FB8F431E-67FF-4D86-9BE2-731CBE97FCB3}" cache="SegmentaciónDeDatos_Cursar" caption="Cursar" lockedPosition="1" rowHeight="241300"/>
  <slicer name="Electiva" xr10:uid="{A4C92E71-5D15-494F-A3A6-FA35FBFAD814}" cache="SegmentaciónDeDatos_Electiva" caption="Electiva" lockedPosition="1" rowHeight="241300"/>
  <slicer name="Estado" xr10:uid="{F0BE9754-62F0-486F-87D3-DE1372F2520F}" cache="SegmentaciónDeDatos_Estado" caption="Estado" columnCount="2" lockedPosition="1" rowHeight="241300"/>
  <slicer name="NIVEL" xr10:uid="{10E7EDA2-132F-4F7B-B18E-6C01274FEDDD}" cache="SegmentaciónDeDatos_NIVEL" caption="Nivel" lockedPosition="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DE02F8-A7E4-4E62-A88C-FB36C786FBA6}" name="Tabla1" displayName="Tabla1" ref="B11:AD66" totalsRowShown="0" headerRowDxfId="95" dataDxfId="93" headerRowBorderDxfId="94" tableBorderDxfId="92">
  <autoFilter ref="B11:AD66" xr:uid="{79DE02F8-A7E4-4E62-A88C-FB36C786FBA6}"/>
  <sortState xmlns:xlrd2="http://schemas.microsoft.com/office/spreadsheetml/2017/richdata2" ref="B12:AD66">
    <sortCondition ref="AD12:AD66"/>
  </sortState>
  <tableColumns count="29">
    <tableColumn id="1" xr3:uid="{A24D5FA6-E447-4A60-BA76-E48B47DF6268}" name="Numero" dataDxfId="91"/>
    <tableColumn id="5" xr3:uid="{41D6DF65-D806-4685-B39B-97EEEBC6388E}" name="Codigo" dataDxfId="90"/>
    <tableColumn id="22" xr3:uid="{3E504640-98A8-4713-94D4-B026959A359F}" name="Nivel" dataDxfId="89"/>
    <tableColumn id="2" xr3:uid="{F93819E9-0871-4C42-AF48-CDBD4E884339}" name="Materia" dataDxfId="88"/>
    <tableColumn id="6" xr3:uid="{772036BF-1C2E-4AD0-985E-565A762A39C4}" name="Icono" dataDxfId="87">
      <calculatedColumnFormula>_xlfn.XLOOKUP(Tabla1[[#This Row],[Estado]],Control!$C$32:$C$34,Control!$B$32:$B$34,"")</calculatedColumnFormula>
    </tableColumn>
    <tableColumn id="10" xr3:uid="{474D2529-3166-45BF-8B3E-D040442EFC54}" name="Estado" dataDxfId="86"/>
    <tableColumn id="4" xr3:uid="{9F7C669A-5795-4BB7-8E16-3107D2BFF0BE}" name="Nota" dataDxfId="85"/>
    <tableColumn id="3" xr3:uid="{3702BBEF-C11E-4D4E-BC12-4BD2121D3EC8}" name="Modalidad" dataDxfId="84"/>
    <tableColumn id="17" xr3:uid="{22536584-898D-4A19-8480-D3342C257AFD}" name="Cursar" dataDxfId="83">
      <calculatedColumnFormula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calculatedColumnFormula>
    </tableColumn>
    <tableColumn id="18" xr3:uid="{4B13752F-4D7C-4A1D-B36C-54BA596A3010}" name="Electiva" dataDxfId="82"/>
    <tableColumn id="21" xr3:uid="{D641437E-3737-44F7-9A53-4CE116B1C4C8}" name="Carga Horaria" dataDxfId="81"/>
    <tableColumn id="7" xr3:uid="{6D429D2C-2291-4FEF-948F-E02261FBF835}" name="Puntos" dataDxfId="80"/>
    <tableColumn id="8" xr3:uid="{94D1AD21-C77F-4D00-91E2-B914785E3402}" name="R1" dataDxfId="79" dataCellStyle="60% - Énfasis4">
      <calculatedColumnFormula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calculatedColumnFormula>
    </tableColumn>
    <tableColumn id="9" xr3:uid="{CCD0B686-36DF-4737-800C-BE33AC02FBF8}" name="R2" dataDxfId="78" dataCellStyle="60% - Énfasis4">
      <calculatedColumnFormula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calculatedColumnFormula>
    </tableColumn>
    <tableColumn id="11" xr3:uid="{964C3D77-5C6F-4B6E-8C6D-8AD200894530}" name="R3" dataDxfId="77" dataCellStyle="60% - Énfasis4">
      <calculatedColumnFormula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calculatedColumnFormula>
    </tableColumn>
    <tableColumn id="24" xr3:uid="{88B427B0-DCBC-43B5-9EE0-F5E759AB4367}" name="R4" dataDxfId="76" dataCellStyle="60% - Énfasis4">
      <calculatedColumnFormula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calculatedColumnFormula>
    </tableColumn>
    <tableColumn id="30" xr3:uid="{E871317C-F397-448B-92F3-DAAD3AF8271E}" name="R5" dataDxfId="75" dataCellStyle="60% - Énfasis4">
      <calculatedColumnFormula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calculatedColumnFormula>
    </tableColumn>
    <tableColumn id="12" xr3:uid="{15F19C93-1E23-4EC9-8F6A-BCF6F03A24EB}" name="R6" dataDxfId="74" dataCellStyle="60% - Énfasis4">
      <calculatedColumnFormula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calculatedColumnFormula>
    </tableColumn>
    <tableColumn id="13" xr3:uid="{43717CD1-6668-4EF7-8BF8-6C1843CB6E18}" name="A1" dataDxfId="73" dataCellStyle="60% - Énfasis4">
      <calculatedColumnFormula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calculatedColumnFormula>
    </tableColumn>
    <tableColumn id="14" xr3:uid="{DDEEC8DE-4464-4365-AF98-2EBA23CB0A64}" name="A2" dataDxfId="72" dataCellStyle="60% - Énfasis4">
      <calculatedColumnFormula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calculatedColumnFormula>
    </tableColumn>
    <tableColumn id="26" xr3:uid="{7E34A825-EA74-4DB7-AA92-B6F65DA02E0A}" name="A3" dataDxfId="71" dataCellStyle="60% - Énfasis4">
      <calculatedColumnFormula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calculatedColumnFormula>
    </tableColumn>
    <tableColumn id="25" xr3:uid="{941262C1-F6B1-4DBB-B4A8-1DEB48EF62E0}" name="A4" dataDxfId="70" dataCellStyle="60% - Énfasis4">
      <calculatedColumnFormula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calculatedColumnFormula>
    </tableColumn>
    <tableColumn id="15" xr3:uid="{0AA50233-9BFE-41CB-937A-9DA4946D1B7B}" name="A5" dataDxfId="69" dataCellStyle="60% - Énfasis4">
      <calculatedColumnFormula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calculatedColumnFormula>
    </tableColumn>
    <tableColumn id="29" xr3:uid="{997D8706-9715-4376-829A-4A2F0F2E2941}" name="A6" dataDxfId="68" dataCellStyle="60% - Énfasis4">
      <calculatedColumnFormula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calculatedColumnFormula>
    </tableColumn>
    <tableColumn id="28" xr3:uid="{93FFFFB2-3589-4E27-80F4-EA07CAD7F4BD}" name="A7" dataDxfId="67" dataCellStyle="60% - Énfasis4">
      <calculatedColumnFormula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calculatedColumnFormula>
    </tableColumn>
    <tableColumn id="16" xr3:uid="{1494389C-7B43-4ABE-AB29-970D62EEE7E7}" name="A8" dataDxfId="66" dataCellStyle="60% - Énfasis4">
      <calculatedColumnFormula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calculatedColumnFormula>
    </tableColumn>
    <tableColumn id="19" xr3:uid="{BAD87C3B-EAD5-499D-A8F5-51BE0B89B7BC}" name="HALLAR" dataDxfId="65" dataCellStyle="60% - Énfasis4">
      <calculatedColumnFormula>ISNUMBER(SEARCH($H$4,Tabla1[[#This Row],[Materia]],1))</calculatedColumnFormula>
    </tableColumn>
    <tableColumn id="20" xr3:uid="{BE35400B-14F7-472D-AD27-BDFC43C0D8E5}" name="FILTRAR" dataDxfId="64" dataCellStyle="60% - Énfasis4">
      <calculatedColumnFormula>IFERROR(IF(
    (COUNTIF(Tabla1[[#This Row],[R1]:[A8]], _xlfn.XLOOKUP($H$4,Tabla1[Materia],Tabla1[Numero],""))) &gt; 0,
    TRUE,
    FALSE
),FALSE)</calculatedColumnFormula>
    </tableColumn>
    <tableColumn id="23" xr3:uid="{3B88E2D4-65F2-41F5-8161-896AECC66145}" name="ORDEN" dataDxfId="63">
      <calculatedColumnFormula array="1">_xlfn.SEQUENCE(Tabla1[[#This Row],[Numero]],,1,)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BA2A550-1C17-438E-B7AC-1C04EE1EC366}" name="Tabla2" displayName="Tabla2" ref="C41:C48" totalsRowShown="0" dataDxfId="62">
  <autoFilter ref="C41:C48" xr:uid="{CBA2A550-1C17-438E-B7AC-1C04EE1EC366}"/>
  <tableColumns count="1">
    <tableColumn id="1" xr3:uid="{292F7581-8B8A-42E5-9D14-32453948C535}" name="Modalidades" dataDxfId="61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D41DBCD-7301-4FD0-8C4F-886A6F287120}" name="Tabla3" displayName="Tabla3" ref="P2:P4" totalsRowShown="0" headerRowDxfId="60" dataDxfId="59">
  <autoFilter ref="P2:P4" xr:uid="{6D41DBCD-7301-4FD0-8C4F-886A6F287120}"/>
  <tableColumns count="1">
    <tableColumn id="1" xr3:uid="{F13107FB-AE8A-442C-91E2-33B2B08C4D10}" name="Tipo" dataDxfId="58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B6D7178-77C8-4DA5-B6DE-B06FAD275BEA}" name="Tabla6" displayName="Tabla6" ref="E41:E46" totalsRowShown="0" headerRowDxfId="57" dataDxfId="56">
  <autoFilter ref="E41:E46" xr:uid="{AB6D7178-77C8-4DA5-B6DE-B06FAD275BEA}"/>
  <tableColumns count="1">
    <tableColumn id="1" xr3:uid="{9DB72B6D-3F22-444F-B143-8516B642D8BA}" name="Nivel" dataDxfId="55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EA6BD66-6D35-4631-BCD0-86FF5A39F5A6}" name="Tabla4" displayName="Tabla4" ref="G41:G43" totalsRowShown="0" headerRowDxfId="54" dataDxfId="53">
  <autoFilter ref="G41:G43" xr:uid="{2EA6BD66-6D35-4631-BCD0-86FF5A39F5A6}"/>
  <tableColumns count="1">
    <tableColumn id="1" xr3:uid="{7C9497DB-1FDE-4105-98A6-3191782FF11A}" name="Año de Ingreso" dataDxfId="52"/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ABA9D5-C5AE-41C6-A2A8-AE20FFDFED15}" name="tblCorrelativasAntes2023" displayName="tblCorrelativasAntes2023" ref="M51:AA60" totalsRowShown="0" headerRowDxfId="51" dataDxfId="50">
  <autoFilter ref="M51:AA60" xr:uid="{6BABA9D5-C5AE-41C6-A2A8-AE20FFDFED15}"/>
  <sortState xmlns:xlrd2="http://schemas.microsoft.com/office/spreadsheetml/2017/richdata2" ref="M52:AA60">
    <sortCondition ref="M51:M60"/>
  </sortState>
  <tableColumns count="15">
    <tableColumn id="1" xr3:uid="{00BF462B-29DC-4F0F-AD75-42A7085C8D39}" name="Codigo" dataDxfId="49"/>
    <tableColumn id="2" xr3:uid="{EB98CCD7-978D-4FAC-B396-C3980B1B323A}" name="R1" dataDxfId="48"/>
    <tableColumn id="3" xr3:uid="{D3D02AA4-49CE-4B9B-9193-01046C0C2C2B}" name="R2" dataDxfId="47"/>
    <tableColumn id="4" xr3:uid="{8E99CDB2-2208-49A5-B50E-D1E76EC96092}" name="R3" dataDxfId="46"/>
    <tableColumn id="5" xr3:uid="{4B18780F-C7BB-4228-852E-6207F3E4B004}" name="R4" dataDxfId="45"/>
    <tableColumn id="6" xr3:uid="{7C8D4E0E-D695-4A72-A2EF-2E757958F421}" name="R5" dataDxfId="44"/>
    <tableColumn id="15" xr3:uid="{2CF8275F-4748-4380-98F4-893940080668}" name="R6" dataDxfId="43"/>
    <tableColumn id="7" xr3:uid="{0C0D715A-2019-4F34-B1B5-E8D92A6FD8E2}" name="A1" dataDxfId="42"/>
    <tableColumn id="8" xr3:uid="{E44A78C6-A9CC-49AC-859A-DC8A53347E7D}" name="A2" dataDxfId="41"/>
    <tableColumn id="9" xr3:uid="{D09794ED-28A8-4269-94EB-9AFE8E51B3CE}" name="A3" dataDxfId="40"/>
    <tableColumn id="10" xr3:uid="{31C2DB0E-2085-4E85-8F45-3C0EAD5B605A}" name="A4" dataDxfId="39"/>
    <tableColumn id="11" xr3:uid="{0EB5F503-DB66-418C-BDCA-637AB49A05B1}" name="A5" dataDxfId="38"/>
    <tableColumn id="12" xr3:uid="{859F2ECA-72AA-4A02-AB93-4D36C01D76CF}" name="A6" dataDxfId="37"/>
    <tableColumn id="13" xr3:uid="{DEF4B6A0-E7D2-45D0-8236-5C9412ACB16A}" name="A7" dataDxfId="36"/>
    <tableColumn id="14" xr3:uid="{A546F41C-F5E9-4591-ACCC-B6301EFDCDC5}" name="A8" dataDxfId="35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C56D2EE-1D4E-45AA-866D-BD3E74377AC6}" name="tblCorrelativasDesde2023" displayName="tblCorrelativasDesde2023" ref="AC51:AQ60" totalsRowShown="0" headerRowDxfId="34" dataDxfId="33">
  <autoFilter ref="AC51:AQ60" xr:uid="{4C56D2EE-1D4E-45AA-866D-BD3E74377AC6}"/>
  <sortState xmlns:xlrd2="http://schemas.microsoft.com/office/spreadsheetml/2017/richdata2" ref="AC52:AQ60">
    <sortCondition ref="AC51:AC60"/>
  </sortState>
  <tableColumns count="15">
    <tableColumn id="1" xr3:uid="{649422C5-B7DF-4E6B-88D5-1B5151D106A1}" name="Codigo" dataDxfId="32"/>
    <tableColumn id="2" xr3:uid="{B0669C20-77C3-4271-BB64-BA5AD70F5EA4}" name="R1" dataDxfId="31"/>
    <tableColumn id="3" xr3:uid="{6F6F9001-54E0-4298-BBE8-40AAB0B6B5E2}" name="R2" dataDxfId="30"/>
    <tableColumn id="4" xr3:uid="{BAD2B660-ACF8-4AB4-AB57-28E9332E6D61}" name="R3" dataDxfId="29"/>
    <tableColumn id="5" xr3:uid="{D90491D1-A8FF-40CC-853D-B4E88B808B65}" name="R4" dataDxfId="28"/>
    <tableColumn id="6" xr3:uid="{53A4E746-E6B7-47A5-BE78-24132436BFB6}" name="R5" dataDxfId="27"/>
    <tableColumn id="15" xr3:uid="{D1A3BB7D-C707-4A5F-9A6C-D2CDE3979B64}" name="R6" dataDxfId="26"/>
    <tableColumn id="7" xr3:uid="{2BE25757-308C-4CA1-9642-CEAAF6E3AC7C}" name="A1" dataDxfId="25"/>
    <tableColumn id="8" xr3:uid="{7FCA6414-D3D1-439F-9E91-71295C0B1BB0}" name="A2" dataDxfId="24"/>
    <tableColumn id="9" xr3:uid="{F413DB55-65DB-43DD-909F-284729B0D8ED}" name="A3" dataDxfId="23"/>
    <tableColumn id="10" xr3:uid="{E04230CD-6F51-4443-AC8E-C7400AF4CD6A}" name="A4" dataDxfId="22"/>
    <tableColumn id="11" xr3:uid="{D1E44710-B614-40C2-8B13-9FD693948A01}" name="A5" dataDxfId="21"/>
    <tableColumn id="12" xr3:uid="{9FEE1BF5-A7ED-404D-AB2C-8FE39BC1E165}" name="A6" dataDxfId="20"/>
    <tableColumn id="13" xr3:uid="{8798DF61-8242-4ECC-89AD-1DD1FE39C677}" name="A7" dataDxfId="19"/>
    <tableColumn id="14" xr3:uid="{22AF2D43-DBFC-4134-ABC6-145C64B297E2}" name="A8" dataDxfId="18"/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DDA878B-8FB3-461B-AC35-2511A2B3ECF5}" name="tblCorrelativasGenerales" displayName="tblCorrelativasGenerales" ref="M63:AA109" totalsRowShown="0" headerRowDxfId="17" dataDxfId="15" headerRowBorderDxfId="16">
  <autoFilter ref="M63:AA109" xr:uid="{6DDA878B-8FB3-461B-AC35-2511A2B3ECF5}"/>
  <tableColumns count="15">
    <tableColumn id="1" xr3:uid="{E87F0A87-4CCB-48F3-9805-37B0E4F0ED13}" name="Codigo" dataDxfId="14"/>
    <tableColumn id="2" xr3:uid="{F951F42E-B6C6-451B-AA18-2EA4CF47D104}" name="R1" dataDxfId="13"/>
    <tableColumn id="3" xr3:uid="{2B2B3E23-6706-4E44-8879-1CDAECB8B925}" name="R2" dataDxfId="12"/>
    <tableColumn id="4" xr3:uid="{D70289A5-845C-4C0B-AF0C-99A642E31E90}" name="R3" dataDxfId="11"/>
    <tableColumn id="5" xr3:uid="{83E2A021-2B00-4B0B-854E-1274AF7467D1}" name="R4" dataDxfId="10"/>
    <tableColumn id="6" xr3:uid="{853CAB49-3AFA-485D-928D-16D1DA623475}" name="R5" dataDxfId="9"/>
    <tableColumn id="15" xr3:uid="{41DF3EDD-DA2E-4934-8120-8A17F42EBFCB}" name="R6" dataDxfId="8"/>
    <tableColumn id="7" xr3:uid="{E6023B34-E7DD-4350-9CA8-5154C6039DBD}" name="A1" dataDxfId="7"/>
    <tableColumn id="8" xr3:uid="{E373BB62-16EF-44BB-B704-95E87D402E25}" name="A2" dataDxfId="6"/>
    <tableColumn id="9" xr3:uid="{B5F769DF-DE27-4977-BF43-3C40CF2D8B5F}" name="A3" dataDxfId="5"/>
    <tableColumn id="10" xr3:uid="{A1BC6C50-C20A-4FDB-AAEA-0D0E059F6431}" name="A4" dataDxfId="4"/>
    <tableColumn id="11" xr3:uid="{010CBCF1-C687-441E-A6B4-7BE13928CDB0}" name="A5" dataDxfId="3"/>
    <tableColumn id="12" xr3:uid="{16A0B0C5-F02D-436C-A698-82FD4282E448}" name="A6" dataDxfId="2"/>
    <tableColumn id="13" xr3:uid="{CAF13A0F-07E1-40F8-BA6B-F094915D945C}" name="A7" dataDxfId="1"/>
    <tableColumn id="14" xr3:uid="{A64E34A3-30DE-4CA5-8EDD-452EAA0771F7}" name="A8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20" row="8">
    <wetp:webextensionref xmlns:r="http://schemas.openxmlformats.org/officeDocument/2006/relationships" r:id="rId1"/>
  </wetp:taskpane>
  <wetp:taskpane dockstate="right" visibility="0" width="350" row="8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1F254E6-3972-4122-89A1-5BA3C70BEE2B}">
  <we:reference id="wa200005271" version="2.5.5.0" store="es-ES" storeType="OMEX"/>
  <we:alternateReferences>
    <we:reference id="wa200005271" version="2.5.5.0" store="wa200005271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6DBA5C01-E18A-4AC4-814D-7B7FF903D555}">
  <we:reference id="wa104381701" version="1.0.0.4" store="en-US" storeType="OMEX"/>
  <we:alternateReferences>
    <we:reference id="wa104381701" version="1.0.0.4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microsoft.com/office/2007/relationships/slicer" Target="../slicers/slicer1.xml"/><Relationship Id="rId5" Type="http://schemas.openxmlformats.org/officeDocument/2006/relationships/image" Target="../media/image1.emf"/><Relationship Id="rId10" Type="http://schemas.openxmlformats.org/officeDocument/2006/relationships/table" Target="../tables/table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R107"/>
  <sheetViews>
    <sheetView showGridLines="0" showRowColHeaders="0" tabSelected="1" showOutlineSymbols="0" zoomScaleNormal="100" workbookViewId="0">
      <selection activeCell="AF30" sqref="AF30"/>
    </sheetView>
  </sheetViews>
  <sheetFormatPr baseColWidth="10" defaultColWidth="0" defaultRowHeight="15" zeroHeight="1" x14ac:dyDescent="0.25"/>
  <cols>
    <col min="1" max="1" width="3" customWidth="1"/>
    <col min="2" max="2" width="8.7109375" customWidth="1"/>
    <col min="3" max="3" width="7.85546875" hidden="1" customWidth="1"/>
    <col min="4" max="4" width="5.28515625" hidden="1" customWidth="1"/>
    <col min="5" max="5" width="77.7109375" customWidth="1"/>
    <col min="6" max="6" width="4.85546875" customWidth="1"/>
    <col min="7" max="7" width="12.28515625" customWidth="1"/>
    <col min="8" max="8" width="6.85546875" customWidth="1"/>
    <col min="9" max="9" width="11.28515625" customWidth="1"/>
    <col min="10" max="10" width="7.140625" customWidth="1"/>
    <col min="11" max="11" width="8.28515625" hidden="1" customWidth="1"/>
    <col min="12" max="12" width="9" customWidth="1"/>
    <col min="13" max="13" width="8.140625" customWidth="1"/>
    <col min="14" max="27" width="3.7109375" customWidth="1"/>
    <col min="28" max="28" width="13" hidden="1" customWidth="1"/>
    <col min="29" max="29" width="13.7109375" hidden="1" customWidth="1"/>
    <col min="30" max="30" width="12.5703125" hidden="1" customWidth="1"/>
    <col min="31" max="31" width="5" customWidth="1"/>
    <col min="32" max="32" width="17.85546875" customWidth="1"/>
    <col min="33" max="33" width="44.85546875" customWidth="1"/>
    <col min="34" max="34" width="4.85546875" customWidth="1"/>
    <col min="35" max="35" width="10.85546875" hidden="1" customWidth="1"/>
    <col min="36" max="37" width="12" hidden="1" customWidth="1"/>
    <col min="38" max="59" width="9.140625" hidden="1" customWidth="1"/>
    <col min="60" max="60" width="30.28515625" hidden="1" customWidth="1"/>
    <col min="61" max="61" width="29.7109375" hidden="1" customWidth="1"/>
    <col min="62" max="62" width="28.85546875" hidden="1" customWidth="1"/>
    <col min="63" max="63" width="19.42578125" hidden="1" customWidth="1"/>
    <col min="64" max="64" width="13.28515625" hidden="1" customWidth="1"/>
    <col min="65" max="65" width="16.28515625" hidden="1" customWidth="1"/>
    <col min="66" max="66" width="15.42578125" hidden="1" customWidth="1"/>
    <col min="67" max="67" width="18.5703125" hidden="1" customWidth="1"/>
    <col min="68" max="68" width="25" hidden="1" customWidth="1"/>
    <col min="69" max="69" width="19" hidden="1" customWidth="1"/>
    <col min="70" max="70" width="14.28515625" hidden="1" customWidth="1"/>
    <col min="71" max="16384" width="11.42578125" hidden="1"/>
  </cols>
  <sheetData>
    <row r="1" spans="1:68" x14ac:dyDescent="0.25">
      <c r="J1" s="19"/>
      <c r="K1" s="19"/>
      <c r="L1" s="19"/>
    </row>
    <row r="2" spans="1:68" ht="38.25" customHeight="1" x14ac:dyDescent="0.25">
      <c r="B2" s="231" t="s">
        <v>152</v>
      </c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1"/>
      <c r="R2" s="231"/>
      <c r="S2" s="231"/>
      <c r="T2" s="231"/>
      <c r="U2" s="231"/>
      <c r="V2" s="231"/>
      <c r="W2" s="231"/>
      <c r="X2" s="231"/>
      <c r="AB2" s="90"/>
      <c r="AF2" s="113" t="s">
        <v>29</v>
      </c>
      <c r="AG2" s="112" t="s">
        <v>48</v>
      </c>
      <c r="AH2" s="157"/>
    </row>
    <row r="3" spans="1:68" ht="15" customHeight="1" thickBot="1" x14ac:dyDescent="0.3">
      <c r="A3" s="21"/>
      <c r="B3" s="47"/>
      <c r="C3" s="47"/>
      <c r="D3" s="47"/>
      <c r="E3" s="47"/>
      <c r="F3" s="47"/>
      <c r="G3" s="47"/>
      <c r="H3" s="47"/>
      <c r="I3" s="47"/>
      <c r="J3" s="40"/>
      <c r="T3" s="22"/>
      <c r="U3" s="19"/>
      <c r="V3" s="19"/>
      <c r="AB3" s="44"/>
      <c r="AC3" s="44"/>
      <c r="AD3" s="45"/>
      <c r="AE3" s="45"/>
      <c r="AF3" s="45"/>
      <c r="AG3" s="45"/>
      <c r="AH3" s="45"/>
      <c r="AI3" s="45"/>
    </row>
    <row r="4" spans="1:68" ht="31.5" customHeight="1" thickBot="1" x14ac:dyDescent="0.3">
      <c r="A4" s="17"/>
      <c r="B4" s="40"/>
      <c r="C4" s="40"/>
      <c r="D4" s="40"/>
      <c r="E4" s="40"/>
      <c r="F4" s="40"/>
      <c r="G4" s="53" t="s">
        <v>1</v>
      </c>
      <c r="H4" s="229"/>
      <c r="I4" s="229"/>
      <c r="J4" s="229"/>
      <c r="K4" s="230"/>
      <c r="L4" s="229"/>
      <c r="M4" s="97"/>
      <c r="N4" s="232" t="s">
        <v>75</v>
      </c>
      <c r="O4" s="233"/>
      <c r="P4" s="234"/>
      <c r="Q4" s="246" t="s">
        <v>77</v>
      </c>
      <c r="R4" s="247"/>
      <c r="S4" s="248"/>
      <c r="T4" s="19"/>
      <c r="U4" s="19"/>
      <c r="V4" s="19"/>
      <c r="AF4" s="45"/>
      <c r="AG4" s="45"/>
      <c r="AH4" s="45"/>
      <c r="AI4" s="45"/>
    </row>
    <row r="5" spans="1:68" s="73" customFormat="1" ht="29.25" customHeight="1" thickBot="1" x14ac:dyDescent="0.3">
      <c r="A5" s="72"/>
      <c r="B5" s="40"/>
      <c r="C5" s="40"/>
      <c r="D5" s="40"/>
      <c r="E5" s="40"/>
      <c r="F5" s="40"/>
      <c r="G5" s="52" t="s">
        <v>71</v>
      </c>
      <c r="H5" s="128" t="s">
        <v>53</v>
      </c>
      <c r="N5" s="40"/>
      <c r="O5" s="40"/>
      <c r="P5" s="40"/>
      <c r="Q5" s="40"/>
      <c r="R5" s="46"/>
      <c r="S5" s="40"/>
      <c r="T5" s="74"/>
      <c r="U5" s="74"/>
      <c r="V5" s="74"/>
      <c r="AF5" s="78"/>
    </row>
    <row r="6" spans="1:68" s="73" customFormat="1" ht="16.5" customHeight="1" thickBot="1" x14ac:dyDescent="0.3">
      <c r="A6" s="72"/>
      <c r="B6" s="40"/>
      <c r="C6" s="40"/>
      <c r="D6" s="40"/>
      <c r="E6" s="40"/>
      <c r="F6" s="40"/>
      <c r="G6" s="40"/>
      <c r="N6" s="40"/>
      <c r="O6" s="40"/>
      <c r="P6" s="40"/>
      <c r="Q6" s="40"/>
      <c r="R6" s="40"/>
      <c r="S6" s="40"/>
      <c r="T6" s="74"/>
      <c r="U6" s="74"/>
      <c r="V6" s="74"/>
    </row>
    <row r="7" spans="1:68" s="73" customFormat="1" ht="28.5" customHeight="1" thickBot="1" x14ac:dyDescent="0.3">
      <c r="A7" s="72"/>
      <c r="C7" s="40"/>
      <c r="D7" s="40"/>
      <c r="E7" s="40"/>
      <c r="F7" s="40"/>
      <c r="G7" s="243" t="s">
        <v>51</v>
      </c>
      <c r="H7" s="244"/>
      <c r="I7" s="244"/>
      <c r="J7" s="244"/>
      <c r="K7" s="244"/>
      <c r="L7" s="245"/>
      <c r="N7" s="50"/>
      <c r="O7" s="40"/>
      <c r="P7" s="40"/>
      <c r="Q7" s="40"/>
      <c r="R7" s="40"/>
      <c r="S7" s="40"/>
      <c r="T7" s="74"/>
      <c r="U7" s="74"/>
      <c r="V7" s="74"/>
      <c r="AF7" s="78"/>
    </row>
    <row r="8" spans="1:68" s="73" customFormat="1" ht="33" customHeight="1" thickBot="1" x14ac:dyDescent="0.3">
      <c r="A8" s="72"/>
      <c r="B8" s="40"/>
      <c r="C8" s="40"/>
      <c r="D8" s="40"/>
      <c r="E8" s="40"/>
      <c r="F8" s="40"/>
      <c r="G8" s="51" t="s">
        <v>72</v>
      </c>
      <c r="H8" s="237" t="s">
        <v>73</v>
      </c>
      <c r="I8" s="239"/>
      <c r="J8" s="237" t="s">
        <v>74</v>
      </c>
      <c r="K8" s="238"/>
      <c r="L8" s="239"/>
      <c r="N8" s="40"/>
      <c r="O8" s="40"/>
      <c r="P8" s="40"/>
      <c r="Q8" s="40"/>
      <c r="R8" s="40"/>
      <c r="S8" s="40"/>
      <c r="T8" s="74"/>
      <c r="U8" s="74"/>
      <c r="V8" s="74"/>
      <c r="BH8" s="79"/>
      <c r="BI8" s="79"/>
      <c r="BJ8" s="79"/>
      <c r="BK8" s="79"/>
      <c r="BL8" s="79"/>
      <c r="BM8" s="79"/>
    </row>
    <row r="9" spans="1:68" ht="21" customHeight="1" thickBot="1" x14ac:dyDescent="0.3">
      <c r="A9" s="17"/>
      <c r="B9" s="19"/>
      <c r="E9" s="19"/>
      <c r="G9" s="49">
        <f xml:space="preserve"> SUMIFS(Tabla1[Carga Horaria], Tabla1[Estado], "&lt;&gt;Aprobado", Tabla1[Estado], "&lt;&gt;Regular", Tabla1[Electiva], "NO")</f>
        <v>149</v>
      </c>
      <c r="H9" s="235" t="str">
        <f>IF(
   SUMIFS(Tabla1[Carga Horaria], Tabla1[Estado], "&lt;&gt;Aprobado", Tabla1[Estado], "&lt;&gt;Regular", Tabla1[Materia], "&lt;&gt;E35", Tabla1[Materia], "&lt;&gt;E57", Tabla1[Electiva], "NO") &lt;= 30,
   "SI", "NO")</f>
        <v>NO</v>
      </c>
      <c r="I9" s="236"/>
      <c r="J9" s="240" t="s">
        <v>53</v>
      </c>
      <c r="K9" s="241"/>
      <c r="L9" s="242"/>
      <c r="N9" s="249" t="s">
        <v>5</v>
      </c>
      <c r="O9" s="250"/>
      <c r="P9" s="250"/>
      <c r="Q9" s="250"/>
      <c r="R9" s="250"/>
      <c r="S9" s="250"/>
      <c r="T9" s="250"/>
      <c r="U9" s="250"/>
      <c r="V9" s="250"/>
      <c r="W9" s="250"/>
      <c r="X9" s="250"/>
      <c r="Y9" s="250"/>
      <c r="Z9" s="250"/>
      <c r="AA9" s="251"/>
      <c r="BH9" s="15"/>
      <c r="BI9" s="15"/>
      <c r="BJ9" s="15"/>
      <c r="BK9" s="15"/>
      <c r="BL9" s="15"/>
      <c r="BM9" s="15"/>
    </row>
    <row r="10" spans="1:68" ht="17.25" customHeight="1" thickBot="1" x14ac:dyDescent="0.3">
      <c r="A10" s="17"/>
      <c r="B10" s="19"/>
      <c r="C10" s="19"/>
      <c r="D10" s="19"/>
      <c r="E10" s="19"/>
      <c r="F10" s="19"/>
      <c r="G10" s="19"/>
      <c r="H10" s="19"/>
      <c r="I10" s="19"/>
      <c r="N10" s="226" t="s">
        <v>35</v>
      </c>
      <c r="O10" s="227"/>
      <c r="P10" s="227"/>
      <c r="Q10" s="227"/>
      <c r="R10" s="227"/>
      <c r="S10" s="228"/>
      <c r="T10" s="226" t="s">
        <v>13</v>
      </c>
      <c r="U10" s="227"/>
      <c r="V10" s="227"/>
      <c r="W10" s="227"/>
      <c r="X10" s="227"/>
      <c r="Y10" s="227"/>
      <c r="Z10" s="227"/>
      <c r="AA10" s="228"/>
      <c r="BH10" s="15"/>
      <c r="BI10" s="15"/>
      <c r="BJ10" s="15"/>
      <c r="BK10" s="15"/>
      <c r="BL10" s="15"/>
      <c r="BM10" s="15"/>
    </row>
    <row r="11" spans="1:68" s="6" customFormat="1" ht="31.5" customHeight="1" thickBot="1" x14ac:dyDescent="0.3">
      <c r="A11" s="24"/>
      <c r="B11" s="107" t="s">
        <v>0</v>
      </c>
      <c r="C11" s="107" t="s">
        <v>50</v>
      </c>
      <c r="D11" s="107" t="s">
        <v>49</v>
      </c>
      <c r="E11" s="107" t="s">
        <v>1</v>
      </c>
      <c r="F11" s="108" t="s">
        <v>56</v>
      </c>
      <c r="G11" s="107" t="s">
        <v>59</v>
      </c>
      <c r="H11" s="107" t="s">
        <v>27</v>
      </c>
      <c r="I11" s="107" t="s">
        <v>3</v>
      </c>
      <c r="J11" s="107" t="s">
        <v>55</v>
      </c>
      <c r="K11" s="107" t="s">
        <v>58</v>
      </c>
      <c r="L11" s="107" t="s">
        <v>62</v>
      </c>
      <c r="M11" s="107" t="s">
        <v>30</v>
      </c>
      <c r="N11" s="109" t="s">
        <v>42</v>
      </c>
      <c r="O11" s="110" t="s">
        <v>36</v>
      </c>
      <c r="P11" s="110" t="s">
        <v>37</v>
      </c>
      <c r="Q11" s="110" t="s">
        <v>38</v>
      </c>
      <c r="R11" s="110" t="s">
        <v>87</v>
      </c>
      <c r="S11" s="110" t="s">
        <v>94</v>
      </c>
      <c r="T11" s="111" t="s">
        <v>43</v>
      </c>
      <c r="U11" s="110" t="s">
        <v>39</v>
      </c>
      <c r="V11" s="110" t="s">
        <v>40</v>
      </c>
      <c r="W11" s="110" t="s">
        <v>41</v>
      </c>
      <c r="X11" s="110" t="s">
        <v>88</v>
      </c>
      <c r="Y11" s="110" t="s">
        <v>89</v>
      </c>
      <c r="Z11" s="110" t="s">
        <v>92</v>
      </c>
      <c r="AA11" s="110" t="s">
        <v>93</v>
      </c>
      <c r="AB11" s="98" t="s">
        <v>61</v>
      </c>
      <c r="AC11" s="98" t="s">
        <v>63</v>
      </c>
      <c r="AD11" s="98" t="s">
        <v>82</v>
      </c>
      <c r="AI11" s="19"/>
      <c r="AJ11" s="19"/>
      <c r="AK11" s="20"/>
      <c r="BK11" s="14"/>
      <c r="BL11" s="14"/>
      <c r="BM11" s="14"/>
      <c r="BN11" s="14"/>
      <c r="BO11" s="14"/>
      <c r="BP11" s="14"/>
    </row>
    <row r="12" spans="1:68" ht="17.25" customHeight="1" x14ac:dyDescent="0.25">
      <c r="A12" s="17"/>
      <c r="B12" s="158">
        <v>1</v>
      </c>
      <c r="C12" s="114">
        <v>1</v>
      </c>
      <c r="D12" s="132" t="s">
        <v>64</v>
      </c>
      <c r="E12" s="102" t="s">
        <v>144</v>
      </c>
      <c r="F12" s="100" t="str">
        <f>_xlfn.XLOOKUP(Tabla1[[#This Row],[Estado]],Control!$C$32:$C$34,Control!$B$32:$B$34,"")</f>
        <v/>
      </c>
      <c r="G12" s="103"/>
      <c r="H12" s="121"/>
      <c r="I12" s="100" t="s">
        <v>6</v>
      </c>
      <c r="J12" s="104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SI</v>
      </c>
      <c r="K12" s="104" t="s">
        <v>53</v>
      </c>
      <c r="L12" s="104">
        <v>5</v>
      </c>
      <c r="M12" s="114"/>
      <c r="N12" s="105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12" s="106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12" s="106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2" s="106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2" s="106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12" s="106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12" s="105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12" s="106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12" s="106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12" s="106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12" s="106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12" s="100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12" s="100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12" s="101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12" s="159" t="b">
        <f>ISNUMBER(SEARCH($H$4,Tabla1[[#This Row],[Materia]],1))</f>
        <v>1</v>
      </c>
      <c r="AC12" s="159" t="b">
        <f>IFERROR(IF(
    (COUNTIF(Tabla1[[#This Row],[R1]:[A8]], _xlfn.XLOOKUP($H$4,Tabla1[Materia],Tabla1[Numero],""))) &gt; 0,
    TRUE,
    FALSE
),FALSE)</f>
        <v>0</v>
      </c>
      <c r="AD12" s="224">
        <v>1</v>
      </c>
      <c r="AE12" s="19"/>
      <c r="AF12" s="19"/>
      <c r="AG12" s="19"/>
      <c r="AH12" s="19"/>
      <c r="AJ12" s="19"/>
      <c r="AK12" s="19"/>
      <c r="BK12" s="15"/>
      <c r="BL12" s="15"/>
      <c r="BM12" s="15"/>
      <c r="BN12" s="15"/>
      <c r="BO12" s="15"/>
      <c r="BP12" s="15"/>
    </row>
    <row r="13" spans="1:68" ht="17.25" customHeight="1" x14ac:dyDescent="0.25">
      <c r="A13" s="17"/>
      <c r="B13" s="160">
        <v>2</v>
      </c>
      <c r="C13" s="115">
        <v>2</v>
      </c>
      <c r="D13" s="133" t="s">
        <v>64</v>
      </c>
      <c r="E13" s="57" t="s">
        <v>85</v>
      </c>
      <c r="F13" s="11" t="str">
        <f>_xlfn.XLOOKUP(Tabla1[[#This Row],[Estado]],Control!$C$32:$C$34,Control!$B$32:$B$34,"")</f>
        <v/>
      </c>
      <c r="G13" s="91"/>
      <c r="H13" s="122"/>
      <c r="I13" s="11" t="s">
        <v>6</v>
      </c>
      <c r="J13" s="11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SI</v>
      </c>
      <c r="K13" s="11" t="s">
        <v>53</v>
      </c>
      <c r="L13" s="11">
        <v>5</v>
      </c>
      <c r="M13" s="115"/>
      <c r="N13" s="63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13" s="64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13" s="64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3" s="64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3" s="64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13" s="64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13" s="63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13" s="64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13" s="64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13" s="64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13" s="64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13" s="1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13" s="1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13" s="84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13" s="87" t="b">
        <f>ISNUMBER(SEARCH($H$4,Tabla1[[#This Row],[Materia]],1))</f>
        <v>1</v>
      </c>
      <c r="AC13" s="87" t="b">
        <f>IFERROR(IF(
    (COUNTIF(Tabla1[[#This Row],[R1]:[A8]], _xlfn.XLOOKUP($H$4,Tabla1[Materia],Tabla1[Numero],""))) &gt; 0,
    TRUE,
    FALSE
),FALSE)</f>
        <v>0</v>
      </c>
      <c r="AD13" s="161">
        <v>2</v>
      </c>
      <c r="AE13" s="19"/>
      <c r="AH13" s="19"/>
      <c r="AI13" s="19"/>
      <c r="AJ13" s="19"/>
      <c r="AK13" s="19"/>
    </row>
    <row r="14" spans="1:68" ht="17.25" customHeight="1" x14ac:dyDescent="0.25">
      <c r="A14" s="17"/>
      <c r="B14" s="160">
        <v>3</v>
      </c>
      <c r="C14" s="115">
        <v>3</v>
      </c>
      <c r="D14" s="133" t="s">
        <v>64</v>
      </c>
      <c r="E14" s="57" t="s">
        <v>90</v>
      </c>
      <c r="F14" s="11" t="str">
        <f>_xlfn.XLOOKUP(Tabla1[[#This Row],[Estado]],Control!$C$32:$C$34,Control!$B$32:$B$34,"")</f>
        <v/>
      </c>
      <c r="G14" s="91"/>
      <c r="H14" s="122"/>
      <c r="I14" s="11" t="s">
        <v>6</v>
      </c>
      <c r="J14" s="11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SI</v>
      </c>
      <c r="K14" s="11" t="s">
        <v>53</v>
      </c>
      <c r="L14" s="11">
        <v>3</v>
      </c>
      <c r="M14" s="115"/>
      <c r="N14" s="63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14" s="64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14" s="64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4" s="64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4" s="64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14" s="64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14" s="63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14" s="64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14" s="64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14" s="64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14" s="64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14" s="1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14" s="1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14" s="84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14" s="87" t="b">
        <f>ISNUMBER(SEARCH($H$4,Tabla1[[#This Row],[Materia]],1))</f>
        <v>1</v>
      </c>
      <c r="AC14" s="87" t="b">
        <f>IFERROR(IF(
    (COUNTIF(Tabla1[[#This Row],[R1]:[A8]], _xlfn.XLOOKUP($H$4,Tabla1[Materia],Tabla1[Numero],""))) &gt; 0,
    TRUE,
    FALSE
),FALSE)</f>
        <v>0</v>
      </c>
      <c r="AD14" s="161">
        <v>3</v>
      </c>
      <c r="AE14" s="19"/>
      <c r="AF14" s="19"/>
      <c r="AG14" s="19"/>
      <c r="AI14" s="19"/>
      <c r="AJ14" s="19"/>
      <c r="AK14" s="19"/>
      <c r="AL14" s="19"/>
      <c r="AM14" s="23"/>
    </row>
    <row r="15" spans="1:68" ht="17.25" customHeight="1" x14ac:dyDescent="0.25">
      <c r="A15" s="17"/>
      <c r="B15" s="160">
        <v>4</v>
      </c>
      <c r="C15" s="115">
        <v>4</v>
      </c>
      <c r="D15" s="133" t="s">
        <v>64</v>
      </c>
      <c r="E15" s="57" t="s">
        <v>145</v>
      </c>
      <c r="F15" s="11" t="str">
        <f>_xlfn.XLOOKUP(Tabla1[[#This Row],[Estado]],Control!$C$32:$C$34,Control!$B$32:$B$34,"")</f>
        <v/>
      </c>
      <c r="G15" s="91"/>
      <c r="H15" s="122"/>
      <c r="I15" s="11" t="s">
        <v>6</v>
      </c>
      <c r="J15" s="11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SI</v>
      </c>
      <c r="K15" s="11" t="s">
        <v>53</v>
      </c>
      <c r="L15" s="11">
        <v>3</v>
      </c>
      <c r="M15" s="115"/>
      <c r="N15" s="63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15" s="64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15" s="64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5" s="64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5" s="64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15" s="64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15" s="63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15" s="64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15" s="64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15" s="64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15" s="64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15" s="1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15" s="1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15" s="84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15" s="87" t="b">
        <f>ISNUMBER(SEARCH($H$4,Tabla1[[#This Row],[Materia]],1))</f>
        <v>1</v>
      </c>
      <c r="AC15" s="87" t="b">
        <f>IFERROR(IF(
    (COUNTIF(Tabla1[[#This Row],[R1]:[A8]], _xlfn.XLOOKUP($H$4,Tabla1[Materia],Tabla1[Numero],""))) &gt; 0,
    TRUE,
    FALSE
),FALSE)</f>
        <v>0</v>
      </c>
      <c r="AD15" s="161">
        <v>4</v>
      </c>
      <c r="AE15" s="19"/>
      <c r="AF15" s="19"/>
      <c r="AG15" s="19"/>
      <c r="AH15" s="19"/>
    </row>
    <row r="16" spans="1:68" ht="17.25" customHeight="1" x14ac:dyDescent="0.25">
      <c r="A16" s="17"/>
      <c r="B16" s="160">
        <v>5</v>
      </c>
      <c r="C16" s="115">
        <v>5</v>
      </c>
      <c r="D16" s="133" t="s">
        <v>64</v>
      </c>
      <c r="E16" s="57" t="s">
        <v>100</v>
      </c>
      <c r="F16" s="11" t="str">
        <f>_xlfn.XLOOKUP(Tabla1[[#This Row],[Estado]],Control!$C$32:$C$34,Control!$B$32:$B$34,"")</f>
        <v/>
      </c>
      <c r="G16" s="91"/>
      <c r="H16" s="122"/>
      <c r="I16" s="11" t="s">
        <v>6</v>
      </c>
      <c r="J16" s="11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SI</v>
      </c>
      <c r="K16" s="11" t="s">
        <v>53</v>
      </c>
      <c r="L16" s="11">
        <v>3</v>
      </c>
      <c r="M16" s="115"/>
      <c r="N16" s="63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16" s="64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16" s="64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6" s="64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6" s="64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16" s="64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16" s="63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16" s="64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16" s="64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16" s="64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16" s="64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16" s="1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16" s="1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16" s="84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16" s="87" t="b">
        <f>ISNUMBER(SEARCH($H$4,Tabla1[[#This Row],[Materia]],1))</f>
        <v>1</v>
      </c>
      <c r="AC16" s="87" t="b">
        <f>IFERROR(IF(
    (COUNTIF(Tabla1[[#This Row],[R1]:[A8]], _xlfn.XLOOKUP($H$4,Tabla1[Materia],Tabla1[Numero],""))) &gt; 0,
    TRUE,
    FALSE
),FALSE)</f>
        <v>0</v>
      </c>
      <c r="AD16" s="161">
        <v>5</v>
      </c>
      <c r="AE16" s="19"/>
      <c r="AF16" s="19"/>
      <c r="AG16" s="19"/>
      <c r="AH16" s="19"/>
    </row>
    <row r="17" spans="1:39" ht="17.25" customHeight="1" x14ac:dyDescent="0.25">
      <c r="A17" s="17"/>
      <c r="B17" s="160">
        <v>6</v>
      </c>
      <c r="C17" s="115">
        <v>6</v>
      </c>
      <c r="D17" s="133" t="s">
        <v>64</v>
      </c>
      <c r="E17" s="57" t="s">
        <v>146</v>
      </c>
      <c r="F17" s="11" t="str">
        <f>_xlfn.XLOOKUP(Tabla1[[#This Row],[Estado]],Control!$C$32:$C$34,Control!$B$32:$B$34,"")</f>
        <v/>
      </c>
      <c r="G17" s="91"/>
      <c r="H17" s="122"/>
      <c r="I17" s="11" t="s">
        <v>6</v>
      </c>
      <c r="J17" s="11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SI</v>
      </c>
      <c r="K17" s="11" t="s">
        <v>53</v>
      </c>
      <c r="L17" s="11">
        <v>5</v>
      </c>
      <c r="M17" s="115"/>
      <c r="N17" s="63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17" s="64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17" s="64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7" s="64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7" s="64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17" s="64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17" s="63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17" s="64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17" s="64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17" s="64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17" s="64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17" s="1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17" s="1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17" s="84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17" s="87" t="b">
        <f>ISNUMBER(SEARCH($H$4,Tabla1[[#This Row],[Materia]],1))</f>
        <v>1</v>
      </c>
      <c r="AC17" s="87" t="b">
        <f>IFERROR(IF(
    (COUNTIF(Tabla1[[#This Row],[R1]:[A8]], _xlfn.XLOOKUP($H$4,Tabla1[Materia],Tabla1[Numero],""))) &gt; 0,
    TRUE,
    FALSE
),FALSE)</f>
        <v>0</v>
      </c>
      <c r="AD17" s="161">
        <v>6</v>
      </c>
      <c r="AE17" s="19"/>
      <c r="AF17" s="19"/>
      <c r="AG17" s="19"/>
      <c r="AH17" s="19"/>
      <c r="AI17" s="19"/>
      <c r="AJ17" s="19"/>
      <c r="AK17" s="19"/>
      <c r="AL17" s="19"/>
      <c r="AM17" s="23"/>
    </row>
    <row r="18" spans="1:39" ht="17.25" customHeight="1" x14ac:dyDescent="0.25">
      <c r="A18" s="17"/>
      <c r="B18" s="160">
        <v>7</v>
      </c>
      <c r="C18" s="115">
        <v>7</v>
      </c>
      <c r="D18" s="133" t="s">
        <v>64</v>
      </c>
      <c r="E18" s="57" t="s">
        <v>84</v>
      </c>
      <c r="F18" s="11" t="str">
        <f>_xlfn.XLOOKUP(Tabla1[[#This Row],[Estado]],Control!$C$32:$C$34,Control!$B$32:$B$34,"")</f>
        <v/>
      </c>
      <c r="G18" s="91"/>
      <c r="H18" s="122"/>
      <c r="I18" s="11" t="s">
        <v>6</v>
      </c>
      <c r="J18" s="11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SI</v>
      </c>
      <c r="K18" s="11" t="s">
        <v>53</v>
      </c>
      <c r="L18" s="11">
        <v>5</v>
      </c>
      <c r="M18" s="115"/>
      <c r="N18" s="63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18" s="64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18" s="64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8" s="64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8" s="64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18" s="64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18" s="63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18" s="64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18" s="64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18" s="64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18" s="64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18" s="1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18" s="1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18" s="84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18" s="87" t="b">
        <f>ISNUMBER(SEARCH($H$4,Tabla1[[#This Row],[Materia]],1))</f>
        <v>1</v>
      </c>
      <c r="AC18" s="87" t="b">
        <f>IFERROR(IF(
    (COUNTIF(Tabla1[[#This Row],[R1]:[A8]], _xlfn.XLOOKUP($H$4,Tabla1[Materia],Tabla1[Numero],""))) &gt; 0,
    TRUE,
    FALSE
),FALSE)</f>
        <v>0</v>
      </c>
      <c r="AD18" s="161">
        <v>7</v>
      </c>
      <c r="AE18" s="19"/>
      <c r="AF18" s="19"/>
      <c r="AG18" s="19"/>
      <c r="AH18" s="19"/>
      <c r="AI18" s="19"/>
      <c r="AJ18" s="19"/>
      <c r="AK18" s="19"/>
      <c r="AL18" s="19"/>
      <c r="AM18" s="23"/>
    </row>
    <row r="19" spans="1:39" ht="17.25" customHeight="1" thickBot="1" x14ac:dyDescent="0.3">
      <c r="A19" s="17"/>
      <c r="B19" s="178">
        <v>8</v>
      </c>
      <c r="C19" s="179">
        <v>8</v>
      </c>
      <c r="D19" s="180" t="s">
        <v>64</v>
      </c>
      <c r="E19" s="181" t="s">
        <v>24</v>
      </c>
      <c r="F19" s="182" t="str">
        <f>_xlfn.XLOOKUP(Tabla1[[#This Row],[Estado]],Control!$C$32:$C$34,Control!$B$32:$B$34,"")</f>
        <v/>
      </c>
      <c r="G19" s="183"/>
      <c r="H19" s="184"/>
      <c r="I19" s="182" t="s">
        <v>6</v>
      </c>
      <c r="J19" s="182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SI</v>
      </c>
      <c r="K19" s="182" t="s">
        <v>53</v>
      </c>
      <c r="L19" s="182">
        <v>2</v>
      </c>
      <c r="M19" s="179"/>
      <c r="N19" s="185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19" s="186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19" s="186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9" s="186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9" s="186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19" s="186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19" s="185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19" s="186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19" s="186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19" s="186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19" s="186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19" s="182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19" s="182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19" s="187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19" s="129" t="b">
        <f>ISNUMBER(SEARCH($H$4,Tabla1[[#This Row],[Materia]],1))</f>
        <v>1</v>
      </c>
      <c r="AC19" s="129" t="b">
        <f>IFERROR(IF(
    (COUNTIF(Tabla1[[#This Row],[R1]:[A8]], _xlfn.XLOOKUP($H$4,Tabla1[Materia],Tabla1[Numero],""))) &gt; 0,
    TRUE,
    FALSE
),FALSE)</f>
        <v>0</v>
      </c>
      <c r="AD19" s="188">
        <v>8</v>
      </c>
      <c r="AE19" s="19"/>
      <c r="AF19" s="19"/>
      <c r="AG19" s="19"/>
      <c r="AH19" s="19"/>
      <c r="AI19" s="19"/>
      <c r="AJ19" s="19"/>
      <c r="AK19" s="19"/>
      <c r="AL19" s="19"/>
      <c r="AM19" s="23"/>
    </row>
    <row r="20" spans="1:39" ht="17.25" customHeight="1" x14ac:dyDescent="0.25">
      <c r="A20" s="17"/>
      <c r="B20" s="99">
        <v>9</v>
      </c>
      <c r="C20" s="116">
        <v>9</v>
      </c>
      <c r="D20" s="134" t="s">
        <v>65</v>
      </c>
      <c r="E20" s="58" t="s">
        <v>147</v>
      </c>
      <c r="F20" s="13" t="str">
        <f>_xlfn.XLOOKUP(Tabla1[[#This Row],[Estado]],Control!$C$32:$C$34,Control!$B$32:$B$34,"")</f>
        <v/>
      </c>
      <c r="G20" s="92"/>
      <c r="H20" s="123"/>
      <c r="I20" s="13" t="s">
        <v>6</v>
      </c>
      <c r="J20" s="13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20" s="13" t="s">
        <v>53</v>
      </c>
      <c r="L20" s="13">
        <v>5</v>
      </c>
      <c r="M20" s="116"/>
      <c r="N20" s="99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</v>
      </c>
      <c r="O20" s="13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7</v>
      </c>
      <c r="P20" s="13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0" s="1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0" s="13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20" s="82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20" s="99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20" s="13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20" s="13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20" s="1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20" s="1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20" s="1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20" s="1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20" s="82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20" s="87" t="b">
        <f>ISNUMBER(SEARCH($H$4,Tabla1[[#This Row],[Materia]],1))</f>
        <v>1</v>
      </c>
      <c r="AC20" s="87" t="b">
        <f>IFERROR(IF(
    (COUNTIF(Tabla1[[#This Row],[R1]:[A8]], _xlfn.XLOOKUP($H$4,Tabla1[Materia],Tabla1[Numero],""))) &gt; 0,
    TRUE,
    FALSE
),FALSE)</f>
        <v>0</v>
      </c>
      <c r="AD20" s="161">
        <v>9</v>
      </c>
      <c r="AE20" s="19"/>
      <c r="AF20" s="19"/>
      <c r="AG20" s="19"/>
      <c r="AH20" s="19"/>
      <c r="AI20" s="19"/>
      <c r="AJ20" s="19"/>
      <c r="AK20" s="19"/>
      <c r="AL20" s="19"/>
      <c r="AM20" s="23"/>
    </row>
    <row r="21" spans="1:39" ht="17.25" customHeight="1" x14ac:dyDescent="0.25">
      <c r="A21" s="17"/>
      <c r="B21" s="99">
        <v>10</v>
      </c>
      <c r="C21" s="116">
        <v>10</v>
      </c>
      <c r="D21" s="134" t="s">
        <v>65</v>
      </c>
      <c r="E21" s="58" t="s">
        <v>101</v>
      </c>
      <c r="F21" s="13" t="str">
        <f>_xlfn.XLOOKUP(Tabla1[[#This Row],[Estado]],Control!$C$32:$C$34,Control!$B$32:$B$34,"")</f>
        <v/>
      </c>
      <c r="G21" s="92"/>
      <c r="H21" s="123"/>
      <c r="I21" s="13" t="s">
        <v>6</v>
      </c>
      <c r="J21" s="13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21" s="13" t="s">
        <v>53</v>
      </c>
      <c r="L21" s="13">
        <v>4</v>
      </c>
      <c r="M21" s="116"/>
      <c r="N21" s="99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4</v>
      </c>
      <c r="O21" s="13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5</v>
      </c>
      <c r="P21" s="13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7</v>
      </c>
      <c r="Q21" s="13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8</v>
      </c>
      <c r="R21" s="13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21" s="82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21" s="99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21" s="13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21" s="13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21" s="1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21" s="1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21" s="1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21" s="1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21" s="82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21" s="87" t="b">
        <f>ISNUMBER(SEARCH($H$4,Tabla1[[#This Row],[Materia]],1))</f>
        <v>1</v>
      </c>
      <c r="AC21" s="87" t="b">
        <f>IFERROR(IF(
    (COUNTIF(Tabla1[[#This Row],[R1]:[A8]], _xlfn.XLOOKUP($H$4,Tabla1[Materia],Tabla1[Numero],""))) &gt; 0,
    TRUE,
    FALSE
),FALSE)</f>
        <v>0</v>
      </c>
      <c r="AD21" s="161">
        <v>10</v>
      </c>
      <c r="AE21" s="19"/>
      <c r="AF21" s="19"/>
      <c r="AG21" s="19"/>
      <c r="AH21" s="19"/>
      <c r="AI21" s="19"/>
      <c r="AJ21" s="19"/>
      <c r="AK21" s="19"/>
      <c r="AL21" s="19"/>
      <c r="AM21" s="23"/>
    </row>
    <row r="22" spans="1:39" ht="17.25" customHeight="1" x14ac:dyDescent="0.25">
      <c r="A22" s="17"/>
      <c r="B22" s="99">
        <v>11</v>
      </c>
      <c r="C22" s="116">
        <v>11</v>
      </c>
      <c r="D22" s="134" t="s">
        <v>65</v>
      </c>
      <c r="E22" s="58" t="s">
        <v>86</v>
      </c>
      <c r="F22" s="13" t="str">
        <f>_xlfn.XLOOKUP(Tabla1[[#This Row],[Estado]],Control!$C$32:$C$34,Control!$B$32:$B$34,"")</f>
        <v/>
      </c>
      <c r="G22" s="92"/>
      <c r="H22" s="123"/>
      <c r="I22" s="13" t="s">
        <v>6</v>
      </c>
      <c r="J22" s="13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22" s="13" t="s">
        <v>53</v>
      </c>
      <c r="L22" s="13">
        <v>3</v>
      </c>
      <c r="M22" s="116"/>
      <c r="N22" s="99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</v>
      </c>
      <c r="O22" s="13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7</v>
      </c>
      <c r="P22" s="13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2" s="1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2" s="13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22" s="82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22" s="99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22" s="13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22" s="13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22" s="1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22" s="1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22" s="1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22" s="1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22" s="82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22" s="87" t="b">
        <f>ISNUMBER(SEARCH($H$4,Tabla1[[#This Row],[Materia]],1))</f>
        <v>1</v>
      </c>
      <c r="AC22" s="87" t="b">
        <f>IFERROR(IF(
    (COUNTIF(Tabla1[[#This Row],[R1]:[A8]], _xlfn.XLOOKUP($H$4,Tabla1[Materia],Tabla1[Numero],""))) &gt; 0,
    TRUE,
    FALSE
),FALSE)</f>
        <v>0</v>
      </c>
      <c r="AD22" s="161">
        <v>11</v>
      </c>
      <c r="AE22" s="19"/>
      <c r="AF22" s="19"/>
      <c r="AG22" s="19"/>
      <c r="AH22" s="19"/>
      <c r="AI22" s="19"/>
      <c r="AJ22" s="19"/>
      <c r="AK22" s="19"/>
      <c r="AL22" s="19"/>
      <c r="AM22" s="23"/>
    </row>
    <row r="23" spans="1:39" ht="17.25" customHeight="1" x14ac:dyDescent="0.25">
      <c r="A23" s="17"/>
      <c r="B23" s="99">
        <v>12</v>
      </c>
      <c r="C23" s="116">
        <v>12</v>
      </c>
      <c r="D23" s="134" t="s">
        <v>65</v>
      </c>
      <c r="E23" s="58" t="s">
        <v>130</v>
      </c>
      <c r="F23" s="13" t="str">
        <f>_xlfn.XLOOKUP(Tabla1[[#This Row],[Estado]],Control!$C$32:$C$34,Control!$B$32:$B$34,"")</f>
        <v/>
      </c>
      <c r="G23" s="92"/>
      <c r="H23" s="123"/>
      <c r="I23" s="13" t="s">
        <v>6</v>
      </c>
      <c r="J23" s="13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23" s="13" t="s">
        <v>53</v>
      </c>
      <c r="L23" s="13">
        <v>4</v>
      </c>
      <c r="M23" s="116"/>
      <c r="N23" s="99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</v>
      </c>
      <c r="O23" s="13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6</v>
      </c>
      <c r="P23" s="13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3" s="1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3" s="13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23" s="82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23" s="99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23" s="13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23" s="13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23" s="1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23" s="1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23" s="1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23" s="1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23" s="82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23" s="87" t="b">
        <f>ISNUMBER(SEARCH($H$4,Tabla1[[#This Row],[Materia]],1))</f>
        <v>1</v>
      </c>
      <c r="AC23" s="87" t="b">
        <f>IFERROR(IF(
    (COUNTIF(Tabla1[[#This Row],[R1]:[A8]], _xlfn.XLOOKUP($H$4,Tabla1[Materia],Tabla1[Numero],""))) &gt; 0,
    TRUE,
    FALSE
),FALSE)</f>
        <v>0</v>
      </c>
      <c r="AD23" s="161">
        <v>12</v>
      </c>
      <c r="AE23" s="19"/>
      <c r="AF23" s="19"/>
      <c r="AG23" s="19"/>
      <c r="AH23" s="19"/>
      <c r="AI23" s="19"/>
      <c r="AJ23" s="19"/>
      <c r="AK23" s="19"/>
      <c r="AL23" s="19"/>
      <c r="AM23" s="23"/>
    </row>
    <row r="24" spans="1:39" ht="17.25" customHeight="1" x14ac:dyDescent="0.25">
      <c r="A24" s="17"/>
      <c r="B24" s="99">
        <v>13</v>
      </c>
      <c r="C24" s="116">
        <v>13</v>
      </c>
      <c r="D24" s="134" t="s">
        <v>65</v>
      </c>
      <c r="E24" s="58" t="s">
        <v>148</v>
      </c>
      <c r="F24" s="13" t="str">
        <f>_xlfn.XLOOKUP(Tabla1[[#This Row],[Estado]],Control!$C$32:$C$34,Control!$B$32:$B$34,"")</f>
        <v/>
      </c>
      <c r="G24" s="92"/>
      <c r="H24" s="123"/>
      <c r="I24" s="13" t="s">
        <v>6</v>
      </c>
      <c r="J24" s="13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24" s="13" t="s">
        <v>53</v>
      </c>
      <c r="L24" s="13">
        <v>5</v>
      </c>
      <c r="M24" s="116"/>
      <c r="N24" s="99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</v>
      </c>
      <c r="O24" s="13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6</v>
      </c>
      <c r="P24" s="13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4" s="1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4" s="13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24" s="82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24" s="99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24" s="13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24" s="13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24" s="1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24" s="1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24" s="1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24" s="1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24" s="82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24" s="87" t="b">
        <f>ISNUMBER(SEARCH($H$4,Tabla1[[#This Row],[Materia]],1))</f>
        <v>1</v>
      </c>
      <c r="AC24" s="87" t="b">
        <f>IFERROR(IF(
    (COUNTIF(Tabla1[[#This Row],[R1]:[A8]], _xlfn.XLOOKUP($H$4,Tabla1[Materia],Tabla1[Numero],""))) &gt; 0,
    TRUE,
    FALSE
),FALSE)</f>
        <v>0</v>
      </c>
      <c r="AD24" s="161">
        <v>13</v>
      </c>
      <c r="AE24" s="19"/>
      <c r="AF24" s="19"/>
      <c r="AG24" s="19"/>
      <c r="AH24" s="19"/>
      <c r="AI24" s="19"/>
      <c r="AJ24" s="19"/>
      <c r="AK24" s="19"/>
      <c r="AL24" s="19"/>
      <c r="AM24" s="23"/>
    </row>
    <row r="25" spans="1:39" ht="17.25" customHeight="1" x14ac:dyDescent="0.25">
      <c r="A25" s="17"/>
      <c r="B25" s="99">
        <v>14</v>
      </c>
      <c r="C25" s="116">
        <v>14</v>
      </c>
      <c r="D25" s="134" t="s">
        <v>65</v>
      </c>
      <c r="E25" s="58" t="s">
        <v>102</v>
      </c>
      <c r="F25" s="13" t="str">
        <f>_xlfn.XLOOKUP(Tabla1[[#This Row],[Estado]],Control!$C$32:$C$34,Control!$B$32:$B$34,"")</f>
        <v/>
      </c>
      <c r="G25" s="92"/>
      <c r="H25" s="123"/>
      <c r="I25" s="13" t="s">
        <v>6</v>
      </c>
      <c r="J25" s="13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25" s="13" t="s">
        <v>53</v>
      </c>
      <c r="L25" s="13">
        <v>4</v>
      </c>
      <c r="M25" s="116"/>
      <c r="N25" s="99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</v>
      </c>
      <c r="O25" s="13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5</v>
      </c>
      <c r="P25" s="13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8</v>
      </c>
      <c r="Q25" s="1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5" s="13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25" s="82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25" s="99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25" s="13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25" s="13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25" s="1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25" s="1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25" s="1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25" s="1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25" s="82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25" s="87" t="b">
        <f>ISNUMBER(SEARCH($H$4,Tabla1[[#This Row],[Materia]],1))</f>
        <v>1</v>
      </c>
      <c r="AC25" s="87" t="b">
        <f>IFERROR(IF(
    (COUNTIF(Tabla1[[#This Row],[R1]:[A8]], _xlfn.XLOOKUP($H$4,Tabla1[Materia],Tabla1[Numero],""))) &gt; 0,
    TRUE,
    FALSE
),FALSE)</f>
        <v>0</v>
      </c>
      <c r="AD25" s="161">
        <v>14</v>
      </c>
      <c r="AE25" s="19"/>
      <c r="AF25" s="19"/>
      <c r="AG25" s="19"/>
      <c r="AH25" s="19"/>
      <c r="AI25" s="19"/>
      <c r="AJ25" s="19"/>
      <c r="AK25" s="19"/>
      <c r="AL25" s="19"/>
      <c r="AM25" s="23"/>
    </row>
    <row r="26" spans="1:39" ht="17.25" customHeight="1" x14ac:dyDescent="0.25">
      <c r="A26" s="17"/>
      <c r="B26" s="99">
        <v>15</v>
      </c>
      <c r="C26" s="116">
        <v>15</v>
      </c>
      <c r="D26" s="134" t="s">
        <v>65</v>
      </c>
      <c r="E26" s="58" t="s">
        <v>149</v>
      </c>
      <c r="F26" s="13" t="str">
        <f>_xlfn.XLOOKUP(Tabla1[[#This Row],[Estado]],Control!$C$32:$C$34,Control!$B$32:$B$34,"")</f>
        <v/>
      </c>
      <c r="G26" s="92"/>
      <c r="H26" s="123"/>
      <c r="I26" s="13" t="s">
        <v>6</v>
      </c>
      <c r="J26" s="13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26" s="13" t="s">
        <v>53</v>
      </c>
      <c r="L26" s="13">
        <v>3</v>
      </c>
      <c r="M26" s="116"/>
      <c r="N26" s="99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4</v>
      </c>
      <c r="O26" s="13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26" s="13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6" s="1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6" s="13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26" s="82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26" s="99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26" s="13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26" s="13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26" s="1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26" s="1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26" s="1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26" s="1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26" s="82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26" s="87" t="b">
        <f>ISNUMBER(SEARCH($H$4,Tabla1[[#This Row],[Materia]],1))</f>
        <v>1</v>
      </c>
      <c r="AC26" s="87" t="b">
        <f>IFERROR(IF(
    (COUNTIF(Tabla1[[#This Row],[R1]:[A8]], _xlfn.XLOOKUP($H$4,Tabla1[Materia],Tabla1[Numero],""))) &gt; 0,
    TRUE,
    FALSE
),FALSE)</f>
        <v>0</v>
      </c>
      <c r="AD26" s="161">
        <v>15</v>
      </c>
      <c r="AE26" s="19"/>
      <c r="AF26" s="19"/>
      <c r="AG26" s="19"/>
      <c r="AH26" s="19"/>
      <c r="AI26" s="19"/>
      <c r="AJ26" s="19"/>
      <c r="AK26" s="19"/>
      <c r="AL26" s="19"/>
      <c r="AM26" s="23"/>
    </row>
    <row r="27" spans="1:39" ht="17.25" customHeight="1" thickBot="1" x14ac:dyDescent="0.3">
      <c r="A27" s="17"/>
      <c r="B27" s="192">
        <v>16</v>
      </c>
      <c r="C27" s="193">
        <v>16</v>
      </c>
      <c r="D27" s="194" t="s">
        <v>65</v>
      </c>
      <c r="E27" s="195" t="s">
        <v>150</v>
      </c>
      <c r="F27" s="196" t="str">
        <f>_xlfn.XLOOKUP(Tabla1[[#This Row],[Estado]],Control!$C$32:$C$34,Control!$B$32:$B$34,"")</f>
        <v/>
      </c>
      <c r="G27" s="197"/>
      <c r="H27" s="198"/>
      <c r="I27" s="196" t="s">
        <v>6</v>
      </c>
      <c r="J27" s="196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SI</v>
      </c>
      <c r="K27" s="196" t="s">
        <v>53</v>
      </c>
      <c r="L27" s="196">
        <v>2</v>
      </c>
      <c r="M27" s="193"/>
      <c r="N27" s="192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27" s="196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27" s="196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7" s="196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7" s="196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27" s="199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27" s="192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27" s="196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27" s="196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27" s="196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27" s="196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27" s="196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27" s="196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27" s="199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27" s="129" t="b">
        <f>ISNUMBER(SEARCH($H$4,Tabla1[[#This Row],[Materia]],1))</f>
        <v>1</v>
      </c>
      <c r="AC27" s="129" t="b">
        <f>IFERROR(IF(
    (COUNTIF(Tabla1[[#This Row],[R1]:[A8]], _xlfn.XLOOKUP($H$4,Tabla1[Materia],Tabla1[Numero],""))) &gt; 0,
    TRUE,
    FALSE
),FALSE)</f>
        <v>0</v>
      </c>
      <c r="AD27" s="188">
        <v>16</v>
      </c>
      <c r="AE27" s="19"/>
      <c r="AF27" s="19"/>
      <c r="AG27" s="19"/>
      <c r="AH27" s="19"/>
      <c r="AI27" s="19"/>
      <c r="AJ27" s="19"/>
      <c r="AK27" s="19"/>
      <c r="AL27" s="19"/>
      <c r="AM27" s="23"/>
    </row>
    <row r="28" spans="1:39" ht="17.25" customHeight="1" x14ac:dyDescent="0.25">
      <c r="A28" s="17"/>
      <c r="B28" s="162">
        <v>17</v>
      </c>
      <c r="C28" s="117">
        <v>17</v>
      </c>
      <c r="D28" s="135" t="s">
        <v>66</v>
      </c>
      <c r="E28" s="59" t="s">
        <v>103</v>
      </c>
      <c r="F28" s="39" t="str">
        <f>_xlfn.XLOOKUP(Tabla1[[#This Row],[Estado]],Control!$C$32:$C$34,Control!$B$32:$B$34,"")</f>
        <v/>
      </c>
      <c r="G28" s="93"/>
      <c r="H28" s="124"/>
      <c r="I28" s="39" t="s">
        <v>6</v>
      </c>
      <c r="J28" s="39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28" s="39" t="s">
        <v>53</v>
      </c>
      <c r="L28" s="39">
        <v>3</v>
      </c>
      <c r="M28" s="117"/>
      <c r="N28" s="189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10</v>
      </c>
      <c r="O28" s="190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14</v>
      </c>
      <c r="P28" s="190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8" s="19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8" s="190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28" s="191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28" s="189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</v>
      </c>
      <c r="U28" s="190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4</v>
      </c>
      <c r="V28" s="190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5</v>
      </c>
      <c r="W28" s="190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7</v>
      </c>
      <c r="X28" s="190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8</v>
      </c>
      <c r="Y28" s="156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28" s="156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28" s="86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28" s="87" t="b">
        <f>ISNUMBER(SEARCH($H$4,Tabla1[[#This Row],[Materia]],1))</f>
        <v>1</v>
      </c>
      <c r="AC28" s="87" t="b">
        <f>IFERROR(IF(
    (COUNTIF(Tabla1[[#This Row],[R1]:[A8]], _xlfn.XLOOKUP($H$4,Tabla1[Materia],Tabla1[Numero],""))) &gt; 0,
    TRUE,
    FALSE
),FALSE)</f>
        <v>0</v>
      </c>
      <c r="AD28" s="161">
        <v>17</v>
      </c>
      <c r="AE28" s="19"/>
      <c r="AF28" s="19"/>
      <c r="AG28" s="19"/>
      <c r="AH28" s="19"/>
      <c r="AI28" s="19"/>
      <c r="AJ28" s="19"/>
      <c r="AK28" s="19"/>
      <c r="AL28" s="19"/>
      <c r="AM28" s="23"/>
    </row>
    <row r="29" spans="1:39" ht="17.25" customHeight="1" x14ac:dyDescent="0.25">
      <c r="A29" s="17"/>
      <c r="B29" s="162">
        <v>18</v>
      </c>
      <c r="C29" s="117">
        <v>18</v>
      </c>
      <c r="D29" s="135" t="s">
        <v>66</v>
      </c>
      <c r="E29" s="59" t="s">
        <v>104</v>
      </c>
      <c r="F29" s="39" t="str">
        <f>_xlfn.XLOOKUP(Tabla1[[#This Row],[Estado]],Control!$C$32:$C$34,Control!$B$32:$B$34,"")</f>
        <v/>
      </c>
      <c r="G29" s="93"/>
      <c r="H29" s="124"/>
      <c r="I29" s="39" t="s">
        <v>6</v>
      </c>
      <c r="J29" s="39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29" s="39" t="s">
        <v>53</v>
      </c>
      <c r="L29" s="39">
        <v>4</v>
      </c>
      <c r="M29" s="117"/>
      <c r="N29" s="65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3</v>
      </c>
      <c r="O29" s="66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10</v>
      </c>
      <c r="P29" s="66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11</v>
      </c>
      <c r="Q29" s="66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9" s="66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29" s="67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29" s="65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</v>
      </c>
      <c r="U29" s="66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3</v>
      </c>
      <c r="V29" s="66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4</v>
      </c>
      <c r="W29" s="66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5</v>
      </c>
      <c r="X29" s="66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7</v>
      </c>
      <c r="Y29" s="156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8</v>
      </c>
      <c r="Z29" s="156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29" s="86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29" s="87" t="b">
        <f>ISNUMBER(SEARCH($H$4,Tabla1[[#This Row],[Materia]],1))</f>
        <v>1</v>
      </c>
      <c r="AC29" s="87" t="b">
        <f>IFERROR(IF(
    (COUNTIF(Tabla1[[#This Row],[R1]:[A8]], _xlfn.XLOOKUP($H$4,Tabla1[Materia],Tabla1[Numero],""))) &gt; 0,
    TRUE,
    FALSE
),FALSE)</f>
        <v>0</v>
      </c>
      <c r="AD29" s="161">
        <v>18</v>
      </c>
      <c r="AE29" s="19"/>
      <c r="AF29" s="19"/>
      <c r="AG29" s="19"/>
      <c r="AH29" s="19"/>
      <c r="AI29" s="19"/>
      <c r="AJ29" s="19"/>
      <c r="AK29" s="19"/>
      <c r="AL29" s="19"/>
      <c r="AM29" s="23"/>
    </row>
    <row r="30" spans="1:39" ht="17.25" customHeight="1" x14ac:dyDescent="0.25">
      <c r="A30" s="17"/>
      <c r="B30" s="162">
        <v>19</v>
      </c>
      <c r="C30" s="117">
        <v>19</v>
      </c>
      <c r="D30" s="135" t="s">
        <v>66</v>
      </c>
      <c r="E30" s="59" t="s">
        <v>105</v>
      </c>
      <c r="F30" s="39" t="str">
        <f>_xlfn.XLOOKUP(Tabla1[[#This Row],[Estado]],Control!$C$32:$C$34,Control!$B$32:$B$34,"")</f>
        <v/>
      </c>
      <c r="G30" s="93"/>
      <c r="H30" s="124"/>
      <c r="I30" s="39" t="s">
        <v>6</v>
      </c>
      <c r="J30" s="39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30" s="39" t="s">
        <v>53</v>
      </c>
      <c r="L30" s="39">
        <v>3</v>
      </c>
      <c r="M30" s="117"/>
      <c r="N30" s="65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10</v>
      </c>
      <c r="O30" s="66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11</v>
      </c>
      <c r="P30" s="66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14</v>
      </c>
      <c r="Q30" s="66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0" s="66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30" s="67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30" s="65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</v>
      </c>
      <c r="U30" s="66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4</v>
      </c>
      <c r="V30" s="66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5</v>
      </c>
      <c r="W30" s="66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7</v>
      </c>
      <c r="X30" s="66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8</v>
      </c>
      <c r="Y30" s="156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30" s="156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30" s="86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30" s="87" t="b">
        <f>ISNUMBER(SEARCH($H$4,Tabla1[[#This Row],[Materia]],1))</f>
        <v>1</v>
      </c>
      <c r="AC30" s="87" t="b">
        <f>IFERROR(IF(
    (COUNTIF(Tabla1[[#This Row],[R1]:[A8]], _xlfn.XLOOKUP($H$4,Tabla1[Materia],Tabla1[Numero],""))) &gt; 0,
    TRUE,
    FALSE
),FALSE)</f>
        <v>0</v>
      </c>
      <c r="AD30" s="161">
        <v>19</v>
      </c>
      <c r="AE30" s="19"/>
      <c r="AF30" s="19"/>
      <c r="AG30" s="19"/>
      <c r="AH30" s="19"/>
      <c r="AI30" s="19"/>
      <c r="AJ30" s="19"/>
      <c r="AK30" s="19"/>
      <c r="AL30" s="19"/>
      <c r="AM30" s="23"/>
    </row>
    <row r="31" spans="1:39" ht="17.25" customHeight="1" x14ac:dyDescent="0.25">
      <c r="A31" s="17"/>
      <c r="B31" s="162">
        <v>20</v>
      </c>
      <c r="C31" s="117">
        <v>20</v>
      </c>
      <c r="D31" s="135" t="s">
        <v>66</v>
      </c>
      <c r="E31" s="59" t="s">
        <v>106</v>
      </c>
      <c r="F31" s="39" t="str">
        <f>_xlfn.XLOOKUP(Tabla1[[#This Row],[Estado]],Control!$C$32:$C$34,Control!$B$32:$B$34,"")</f>
        <v/>
      </c>
      <c r="G31" s="93"/>
      <c r="H31" s="124"/>
      <c r="I31" s="39" t="s">
        <v>6</v>
      </c>
      <c r="J31" s="39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31" s="39" t="s">
        <v>53</v>
      </c>
      <c r="L31" s="39">
        <v>4</v>
      </c>
      <c r="M31" s="117"/>
      <c r="N31" s="65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</v>
      </c>
      <c r="O31" s="66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13</v>
      </c>
      <c r="P31" s="66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1" s="66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1" s="66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31" s="67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31" s="65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</v>
      </c>
      <c r="U31" s="66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6</v>
      </c>
      <c r="V31" s="66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31" s="66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31" s="66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31" s="156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31" s="156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31" s="86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31" s="87" t="b">
        <f>ISNUMBER(SEARCH($H$4,Tabla1[[#This Row],[Materia]],1))</f>
        <v>1</v>
      </c>
      <c r="AC31" s="87" t="b">
        <f>IFERROR(IF(
    (COUNTIF(Tabla1[[#This Row],[R1]:[A8]], _xlfn.XLOOKUP($H$4,Tabla1[Materia],Tabla1[Numero],""))) &gt; 0,
    TRUE,
    FALSE
),FALSE)</f>
        <v>0</v>
      </c>
      <c r="AD31" s="161">
        <v>20</v>
      </c>
      <c r="AE31" s="19"/>
      <c r="AF31" s="19"/>
      <c r="AH31" s="19"/>
      <c r="AI31" s="19"/>
      <c r="AJ31" s="19"/>
      <c r="AK31" s="19"/>
      <c r="AL31" s="19"/>
      <c r="AM31" s="23"/>
    </row>
    <row r="32" spans="1:39" ht="17.25" customHeight="1" x14ac:dyDescent="0.25">
      <c r="A32" s="17"/>
      <c r="B32" s="162">
        <v>21</v>
      </c>
      <c r="C32" s="117">
        <v>21</v>
      </c>
      <c r="D32" s="135" t="s">
        <v>66</v>
      </c>
      <c r="E32" s="59" t="s">
        <v>107</v>
      </c>
      <c r="F32" s="39" t="str">
        <f>_xlfn.XLOOKUP(Tabla1[[#This Row],[Estado]],Control!$C$32:$C$34,Control!$B$32:$B$34,"")</f>
        <v/>
      </c>
      <c r="G32" s="93"/>
      <c r="H32" s="124"/>
      <c r="I32" s="39" t="s">
        <v>6</v>
      </c>
      <c r="J32" s="39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32" s="39" t="s">
        <v>53</v>
      </c>
      <c r="L32" s="39">
        <v>4</v>
      </c>
      <c r="M32" s="117"/>
      <c r="N32" s="65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9</v>
      </c>
      <c r="O32" s="66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12</v>
      </c>
      <c r="P32" s="66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2" s="66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2" s="66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32" s="67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32" s="65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</v>
      </c>
      <c r="U32" s="66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</v>
      </c>
      <c r="V32" s="66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6</v>
      </c>
      <c r="W32" s="66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7</v>
      </c>
      <c r="X32" s="66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32" s="156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32" s="156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32" s="86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32" s="87" t="b">
        <f>ISNUMBER(SEARCH($H$4,Tabla1[[#This Row],[Materia]],1))</f>
        <v>1</v>
      </c>
      <c r="AC32" s="87" t="b">
        <f>IFERROR(IF(
    (COUNTIF(Tabla1[[#This Row],[R1]:[A8]], _xlfn.XLOOKUP($H$4,Tabla1[Materia],Tabla1[Numero],""))) &gt; 0,
    TRUE,
    FALSE
),FALSE)</f>
        <v>0</v>
      </c>
      <c r="AD32" s="161">
        <v>21</v>
      </c>
      <c r="AE32" s="19"/>
      <c r="AF32" s="19"/>
      <c r="AG32" s="19"/>
      <c r="AH32" s="19"/>
      <c r="AI32" s="19"/>
      <c r="AJ32" s="19"/>
      <c r="AK32" s="19"/>
      <c r="AL32" s="19"/>
      <c r="AM32" s="23"/>
    </row>
    <row r="33" spans="1:39" ht="17.25" customHeight="1" x14ac:dyDescent="0.25">
      <c r="A33" s="17"/>
      <c r="B33" s="162">
        <v>22</v>
      </c>
      <c r="C33" s="117">
        <v>22</v>
      </c>
      <c r="D33" s="135" t="s">
        <v>66</v>
      </c>
      <c r="E33" s="59" t="s">
        <v>91</v>
      </c>
      <c r="F33" s="39" t="str">
        <f>_xlfn.XLOOKUP(Tabla1[[#This Row],[Estado]],Control!$C$32:$C$34,Control!$B$32:$B$34,"")</f>
        <v/>
      </c>
      <c r="G33" s="93"/>
      <c r="H33" s="124"/>
      <c r="I33" s="39" t="s">
        <v>6</v>
      </c>
      <c r="J33" s="39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33" s="39" t="s">
        <v>53</v>
      </c>
      <c r="L33" s="39">
        <v>3</v>
      </c>
      <c r="M33" s="117"/>
      <c r="N33" s="65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9</v>
      </c>
      <c r="O33" s="66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33" s="66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3" s="66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3" s="66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33" s="67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33" s="65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</v>
      </c>
      <c r="U33" s="66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6</v>
      </c>
      <c r="V33" s="66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7</v>
      </c>
      <c r="W33" s="66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33" s="66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33" s="156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33" s="156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33" s="86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33" s="87" t="b">
        <f>ISNUMBER(SEARCH($H$4,Tabla1[[#This Row],[Materia]],1))</f>
        <v>1</v>
      </c>
      <c r="AC33" s="87" t="b">
        <f>IFERROR(IF(
    (COUNTIF(Tabla1[[#This Row],[R1]:[A8]], _xlfn.XLOOKUP($H$4,Tabla1[Materia],Tabla1[Numero],""))) &gt; 0,
    TRUE,
    FALSE
),FALSE)</f>
        <v>0</v>
      </c>
      <c r="AD33" s="161">
        <v>22</v>
      </c>
      <c r="AE33" s="19"/>
      <c r="AF33" s="19"/>
      <c r="AG33" s="19"/>
      <c r="AH33" s="19"/>
      <c r="AI33" s="19"/>
      <c r="AJ33" s="19"/>
      <c r="AK33" s="19"/>
      <c r="AL33" s="19"/>
      <c r="AM33" s="23"/>
    </row>
    <row r="34" spans="1:39" ht="17.25" customHeight="1" x14ac:dyDescent="0.25">
      <c r="A34" s="17"/>
      <c r="B34" s="162">
        <v>23</v>
      </c>
      <c r="C34" s="117">
        <v>23</v>
      </c>
      <c r="D34" s="135" t="s">
        <v>66</v>
      </c>
      <c r="E34" s="59" t="s">
        <v>108</v>
      </c>
      <c r="F34" s="39" t="str">
        <f>_xlfn.XLOOKUP(Tabla1[[#This Row],[Estado]],Control!$C$32:$C$34,Control!$B$32:$B$34,"")</f>
        <v/>
      </c>
      <c r="G34" s="93"/>
      <c r="H34" s="124"/>
      <c r="I34" s="39" t="s">
        <v>6</v>
      </c>
      <c r="J34" s="39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34" s="39" t="s">
        <v>53</v>
      </c>
      <c r="L34" s="39">
        <v>3</v>
      </c>
      <c r="M34" s="117"/>
      <c r="N34" s="65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10</v>
      </c>
      <c r="O34" s="66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14</v>
      </c>
      <c r="P34" s="66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4" s="66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4" s="66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34" s="67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34" s="65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</v>
      </c>
      <c r="U34" s="66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4</v>
      </c>
      <c r="V34" s="66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5</v>
      </c>
      <c r="W34" s="66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7</v>
      </c>
      <c r="X34" s="66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8</v>
      </c>
      <c r="Y34" s="156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34" s="156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34" s="86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34" s="87" t="b">
        <f>ISNUMBER(SEARCH($H$4,Tabla1[[#This Row],[Materia]],1))</f>
        <v>1</v>
      </c>
      <c r="AC34" s="87" t="b">
        <f>IFERROR(IF(
    (COUNTIF(Tabla1[[#This Row],[R1]:[A8]], _xlfn.XLOOKUP($H$4,Tabla1[Materia],Tabla1[Numero],""))) &gt; 0,
    TRUE,
    FALSE
),FALSE)</f>
        <v>0</v>
      </c>
      <c r="AD34" s="161">
        <v>23</v>
      </c>
      <c r="AE34" s="19"/>
      <c r="AF34" s="19"/>
      <c r="AG34" s="19"/>
      <c r="AH34" s="19"/>
      <c r="AI34" s="19"/>
      <c r="AJ34" s="19"/>
      <c r="AK34" s="19"/>
      <c r="AL34" s="19"/>
      <c r="AM34" s="23"/>
    </row>
    <row r="35" spans="1:39" ht="17.25" customHeight="1" x14ac:dyDescent="0.25">
      <c r="A35" s="17"/>
      <c r="B35" s="162">
        <v>24</v>
      </c>
      <c r="C35" s="117">
        <v>24</v>
      </c>
      <c r="D35" s="135" t="s">
        <v>66</v>
      </c>
      <c r="E35" s="59" t="s">
        <v>109</v>
      </c>
      <c r="F35" s="39" t="str">
        <f>_xlfn.XLOOKUP(Tabla1[[#This Row],[Estado]],Control!$C$32:$C$34,Control!$B$32:$B$34,"")</f>
        <v/>
      </c>
      <c r="G35" s="93"/>
      <c r="H35" s="124"/>
      <c r="I35" s="39" t="s">
        <v>6</v>
      </c>
      <c r="J35" s="39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35" s="39" t="s">
        <v>53</v>
      </c>
      <c r="L35" s="39">
        <v>5</v>
      </c>
      <c r="M35" s="117"/>
      <c r="N35" s="65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13</v>
      </c>
      <c r="O35" s="66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35" s="66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5" s="66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5" s="66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35" s="67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35" s="65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</v>
      </c>
      <c r="U35" s="66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6</v>
      </c>
      <c r="V35" s="66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35" s="66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35" s="66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35" s="156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35" s="156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35" s="86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35" s="87" t="b">
        <f>ISNUMBER(SEARCH($H$4,Tabla1[[#This Row],[Materia]],1))</f>
        <v>1</v>
      </c>
      <c r="AC35" s="87" t="b">
        <f>IFERROR(IF(
    (COUNTIF(Tabla1[[#This Row],[R1]:[A8]], _xlfn.XLOOKUP($H$4,Tabla1[Materia],Tabla1[Numero],""))) &gt; 0,
    TRUE,
    FALSE
),FALSE)</f>
        <v>0</v>
      </c>
      <c r="AD35" s="161">
        <v>24</v>
      </c>
      <c r="AE35" s="19"/>
      <c r="AF35" s="19"/>
      <c r="AG35" s="19"/>
      <c r="AH35" s="19"/>
      <c r="AI35" s="19"/>
      <c r="AJ35" s="19"/>
      <c r="AK35" s="19"/>
      <c r="AL35" s="19"/>
      <c r="AM35" s="23"/>
    </row>
    <row r="36" spans="1:39" ht="17.25" customHeight="1" thickBot="1" x14ac:dyDescent="0.3">
      <c r="A36" s="17"/>
      <c r="B36" s="200">
        <v>25</v>
      </c>
      <c r="C36" s="201">
        <v>25</v>
      </c>
      <c r="D36" s="202" t="s">
        <v>66</v>
      </c>
      <c r="E36" s="203" t="s">
        <v>110</v>
      </c>
      <c r="F36" s="204" t="str">
        <f>_xlfn.XLOOKUP(Tabla1[[#This Row],[Estado]],Control!$C$32:$C$34,Control!$B$32:$B$34,"")</f>
        <v/>
      </c>
      <c r="G36" s="205"/>
      <c r="H36" s="206"/>
      <c r="I36" s="204" t="s">
        <v>6</v>
      </c>
      <c r="J36" s="204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36" s="204" t="s">
        <v>53</v>
      </c>
      <c r="L36" s="204">
        <v>2</v>
      </c>
      <c r="M36" s="201"/>
      <c r="N36" s="207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9</v>
      </c>
      <c r="O36" s="208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36" s="208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6" s="208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6" s="208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36" s="209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36" s="207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</v>
      </c>
      <c r="U36" s="208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7</v>
      </c>
      <c r="V36" s="208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36" s="208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36" s="208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36" s="210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36" s="210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36" s="211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36" s="129" t="b">
        <f>ISNUMBER(SEARCH($H$4,Tabla1[[#This Row],[Materia]],1))</f>
        <v>1</v>
      </c>
      <c r="AC36" s="129" t="b">
        <f>IFERROR(IF(
    (COUNTIF(Tabla1[[#This Row],[R1]:[A8]], _xlfn.XLOOKUP($H$4,Tabla1[Materia],Tabla1[Numero],""))) &gt; 0,
    TRUE,
    FALSE
),FALSE)</f>
        <v>0</v>
      </c>
      <c r="AD36" s="188">
        <v>25</v>
      </c>
      <c r="AE36" s="19"/>
      <c r="AF36" s="19"/>
      <c r="AG36" s="19"/>
      <c r="AH36" s="19"/>
      <c r="AI36" s="19"/>
      <c r="AJ36" s="19"/>
      <c r="AK36" s="19"/>
      <c r="AL36" s="19"/>
      <c r="AM36" s="23"/>
    </row>
    <row r="37" spans="1:39" ht="17.25" customHeight="1" x14ac:dyDescent="0.25">
      <c r="A37" s="17"/>
      <c r="B37" s="163">
        <v>26</v>
      </c>
      <c r="C37" s="118">
        <v>26</v>
      </c>
      <c r="D37" s="136" t="s">
        <v>67</v>
      </c>
      <c r="E37" s="60" t="s">
        <v>131</v>
      </c>
      <c r="F37" s="38" t="str">
        <f>_xlfn.XLOOKUP(Tabla1[[#This Row],[Estado]],Control!$C$32:$C$34,Control!$B$32:$B$34,"")</f>
        <v/>
      </c>
      <c r="G37" s="94"/>
      <c r="H37" s="125"/>
      <c r="I37" s="38" t="s">
        <v>6</v>
      </c>
      <c r="J37" s="38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37" s="38" t="s">
        <v>53</v>
      </c>
      <c r="L37" s="38">
        <v>3</v>
      </c>
      <c r="M37" s="118"/>
      <c r="N37" s="68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18</v>
      </c>
      <c r="O37" s="69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37" s="69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7" s="69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7" s="69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37" s="70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37" s="68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10</v>
      </c>
      <c r="U37" s="69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11</v>
      </c>
      <c r="V37" s="69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37" s="69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37" s="69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37" s="69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37" s="69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37" s="70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37" s="87" t="b">
        <f>ISNUMBER(SEARCH($H$4,Tabla1[[#This Row],[Materia]],1))</f>
        <v>1</v>
      </c>
      <c r="AC37" s="87" t="b">
        <f>IFERROR(IF(
    (COUNTIF(Tabla1[[#This Row],[R1]:[A8]], _xlfn.XLOOKUP($H$4,Tabla1[Materia],Tabla1[Numero],""))) &gt; 0,
    TRUE,
    FALSE
),FALSE)</f>
        <v>0</v>
      </c>
      <c r="AD37" s="161">
        <v>26</v>
      </c>
      <c r="AE37" s="19"/>
      <c r="AF37" s="19"/>
      <c r="AG37" s="19"/>
      <c r="AH37" s="19"/>
      <c r="AI37" s="19"/>
      <c r="AJ37" s="19"/>
      <c r="AK37" s="19"/>
      <c r="AL37" s="19"/>
      <c r="AM37" s="23"/>
    </row>
    <row r="38" spans="1:39" ht="17.25" customHeight="1" x14ac:dyDescent="0.25">
      <c r="A38" s="17"/>
      <c r="B38" s="163">
        <v>27</v>
      </c>
      <c r="C38" s="118">
        <v>27</v>
      </c>
      <c r="D38" s="136" t="s">
        <v>67</v>
      </c>
      <c r="E38" s="60" t="s">
        <v>111</v>
      </c>
      <c r="F38" s="38" t="str">
        <f>_xlfn.XLOOKUP(Tabla1[[#This Row],[Estado]],Control!$C$32:$C$34,Control!$B$32:$B$34,"")</f>
        <v/>
      </c>
      <c r="G38" s="94"/>
      <c r="H38" s="125"/>
      <c r="I38" s="38" t="s">
        <v>6</v>
      </c>
      <c r="J38" s="38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38" s="38" t="s">
        <v>53</v>
      </c>
      <c r="L38" s="38">
        <v>4</v>
      </c>
      <c r="M38" s="118"/>
      <c r="N38" s="68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9</v>
      </c>
      <c r="O38" s="69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11</v>
      </c>
      <c r="P38" s="69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25</v>
      </c>
      <c r="Q38" s="69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8" s="69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38" s="70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38" s="68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</v>
      </c>
      <c r="U38" s="69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7</v>
      </c>
      <c r="V38" s="69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25</v>
      </c>
      <c r="W38" s="69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38" s="69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38" s="69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38" s="69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38" s="70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38" s="87" t="b">
        <f>ISNUMBER(SEARCH($H$4,Tabla1[[#This Row],[Materia]],1))</f>
        <v>1</v>
      </c>
      <c r="AC38" s="87" t="b">
        <f>IFERROR(IF(
    (COUNTIF(Tabla1[[#This Row],[R1]:[A8]], _xlfn.XLOOKUP($H$4,Tabla1[Materia],Tabla1[Numero],""))) &gt; 0,
    TRUE,
    FALSE
),FALSE)</f>
        <v>0</v>
      </c>
      <c r="AD38" s="161">
        <v>27</v>
      </c>
      <c r="AE38" s="19"/>
      <c r="AF38" s="19"/>
      <c r="AG38" s="19"/>
      <c r="AH38" s="19"/>
      <c r="AI38" s="19"/>
      <c r="AJ38" s="19"/>
      <c r="AK38" s="19"/>
      <c r="AL38" s="19"/>
      <c r="AM38" s="23"/>
    </row>
    <row r="39" spans="1:39" ht="17.25" customHeight="1" x14ac:dyDescent="0.25">
      <c r="A39" s="17"/>
      <c r="B39" s="163">
        <v>28</v>
      </c>
      <c r="C39" s="118">
        <v>28</v>
      </c>
      <c r="D39" s="136" t="s">
        <v>67</v>
      </c>
      <c r="E39" s="60" t="s">
        <v>112</v>
      </c>
      <c r="F39" s="38" t="str">
        <f>_xlfn.XLOOKUP(Tabla1[[#This Row],[Estado]],Control!$C$32:$C$34,Control!$B$32:$B$34,"")</f>
        <v/>
      </c>
      <c r="G39" s="94"/>
      <c r="H39" s="125"/>
      <c r="I39" s="38" t="s">
        <v>6</v>
      </c>
      <c r="J39" s="38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39" s="38" t="s">
        <v>53</v>
      </c>
      <c r="L39" s="38">
        <v>5</v>
      </c>
      <c r="M39" s="118"/>
      <c r="N39" s="68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18</v>
      </c>
      <c r="O39" s="69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20</v>
      </c>
      <c r="P39" s="69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24</v>
      </c>
      <c r="Q39" s="69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9" s="69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39" s="70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39" s="68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</v>
      </c>
      <c r="U39" s="69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10</v>
      </c>
      <c r="V39" s="69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12</v>
      </c>
      <c r="W39" s="69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13</v>
      </c>
      <c r="X39" s="69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39" s="69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39" s="69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39" s="70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39" s="87" t="b">
        <f>ISNUMBER(SEARCH($H$4,Tabla1[[#This Row],[Materia]],1))</f>
        <v>1</v>
      </c>
      <c r="AC39" s="87" t="b">
        <f>IFERROR(IF(
    (COUNTIF(Tabla1[[#This Row],[R1]:[A8]], _xlfn.XLOOKUP($H$4,Tabla1[Materia],Tabla1[Numero],""))) &gt; 0,
    TRUE,
    FALSE
),FALSE)</f>
        <v>0</v>
      </c>
      <c r="AD39" s="161">
        <v>28</v>
      </c>
      <c r="AE39" s="19"/>
      <c r="AF39" s="19"/>
      <c r="AG39" s="19"/>
      <c r="AH39" s="19"/>
      <c r="AI39" s="19"/>
      <c r="AJ39" s="19"/>
      <c r="AK39" s="19"/>
      <c r="AL39" s="19"/>
      <c r="AM39" s="23"/>
    </row>
    <row r="40" spans="1:39" ht="17.25" customHeight="1" x14ac:dyDescent="0.25">
      <c r="A40" s="17"/>
      <c r="B40" s="163">
        <v>29</v>
      </c>
      <c r="C40" s="118">
        <v>29</v>
      </c>
      <c r="D40" s="136" t="s">
        <v>67</v>
      </c>
      <c r="E40" s="60" t="s">
        <v>113</v>
      </c>
      <c r="F40" s="38" t="str">
        <f>_xlfn.XLOOKUP(Tabla1[[#This Row],[Estado]],Control!$C$32:$C$34,Control!$B$32:$B$34,"")</f>
        <v/>
      </c>
      <c r="G40" s="94"/>
      <c r="H40" s="125"/>
      <c r="I40" s="38" t="s">
        <v>6</v>
      </c>
      <c r="J40" s="38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40" s="38" t="s">
        <v>53</v>
      </c>
      <c r="L40" s="38">
        <v>3</v>
      </c>
      <c r="M40" s="118"/>
      <c r="N40" s="68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9</v>
      </c>
      <c r="O40" s="69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40" s="69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40" s="69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0" s="69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40" s="70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40" s="68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</v>
      </c>
      <c r="U40" s="69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6</v>
      </c>
      <c r="V40" s="69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7</v>
      </c>
      <c r="W40" s="69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40" s="69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40" s="69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40" s="69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40" s="70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40" s="87" t="b">
        <f>ISNUMBER(SEARCH($H$4,Tabla1[[#This Row],[Materia]],1))</f>
        <v>1</v>
      </c>
      <c r="AC40" s="87" t="b">
        <f>IFERROR(IF(
    (COUNTIF(Tabla1[[#This Row],[R1]:[A8]], _xlfn.XLOOKUP($H$4,Tabla1[Materia],Tabla1[Numero],""))) &gt; 0,
    TRUE,
    FALSE
),FALSE)</f>
        <v>0</v>
      </c>
      <c r="AD40" s="161">
        <v>29</v>
      </c>
      <c r="AE40" s="19"/>
      <c r="AF40" s="19"/>
      <c r="AG40" s="19"/>
      <c r="AH40" s="19"/>
      <c r="AI40" s="19"/>
      <c r="AJ40" s="19"/>
      <c r="AK40" s="19"/>
      <c r="AL40" s="19"/>
      <c r="AM40" s="23"/>
    </row>
    <row r="41" spans="1:39" ht="17.25" customHeight="1" x14ac:dyDescent="0.25">
      <c r="A41" s="17"/>
      <c r="B41" s="163">
        <v>30</v>
      </c>
      <c r="C41" s="118">
        <v>30</v>
      </c>
      <c r="D41" s="136" t="s">
        <v>67</v>
      </c>
      <c r="E41" s="60" t="s">
        <v>114</v>
      </c>
      <c r="F41" s="38" t="str">
        <f>_xlfn.XLOOKUP(Tabla1[[#This Row],[Estado]],Control!$C$32:$C$34,Control!$B$32:$B$34,"")</f>
        <v/>
      </c>
      <c r="G41" s="94"/>
      <c r="H41" s="125"/>
      <c r="I41" s="38" t="s">
        <v>6</v>
      </c>
      <c r="J41" s="38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41" s="38" t="s">
        <v>53</v>
      </c>
      <c r="L41" s="38">
        <v>5</v>
      </c>
      <c r="M41" s="118"/>
      <c r="N41" s="68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17</v>
      </c>
      <c r="O41" s="69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18</v>
      </c>
      <c r="P41" s="69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19</v>
      </c>
      <c r="Q41" s="69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23</v>
      </c>
      <c r="R41" s="69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41" s="70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41" s="68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10</v>
      </c>
      <c r="U41" s="69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11</v>
      </c>
      <c r="V41" s="69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14</v>
      </c>
      <c r="W41" s="69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16</v>
      </c>
      <c r="X41" s="69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41" s="69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41" s="69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41" s="70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41" s="87" t="b">
        <f>ISNUMBER(SEARCH($H$4,Tabla1[[#This Row],[Materia]],1))</f>
        <v>1</v>
      </c>
      <c r="AC41" s="87" t="b">
        <f>IFERROR(IF(
    (COUNTIF(Tabla1[[#This Row],[R1]:[A8]], _xlfn.XLOOKUP($H$4,Tabla1[Materia],Tabla1[Numero],""))) &gt; 0,
    TRUE,
    FALSE
),FALSE)</f>
        <v>0</v>
      </c>
      <c r="AD41" s="161">
        <v>30</v>
      </c>
      <c r="AE41" s="19"/>
      <c r="AF41" s="19"/>
      <c r="AG41" s="19"/>
      <c r="AH41" s="19"/>
      <c r="AI41" s="19"/>
      <c r="AJ41" s="19"/>
      <c r="AK41" s="19"/>
      <c r="AL41" s="19"/>
      <c r="AM41" s="23"/>
    </row>
    <row r="42" spans="1:39" ht="17.25" customHeight="1" x14ac:dyDescent="0.25">
      <c r="A42" s="17"/>
      <c r="B42" s="163">
        <v>31</v>
      </c>
      <c r="C42" s="118">
        <v>31</v>
      </c>
      <c r="D42" s="136" t="s">
        <v>67</v>
      </c>
      <c r="E42" s="60" t="s">
        <v>115</v>
      </c>
      <c r="F42" s="38" t="str">
        <f>_xlfn.XLOOKUP(Tabla1[[#This Row],[Estado]],Control!$C$32:$C$34,Control!$B$32:$B$34,"")</f>
        <v/>
      </c>
      <c r="G42" s="94"/>
      <c r="H42" s="125"/>
      <c r="I42" s="38" t="s">
        <v>6</v>
      </c>
      <c r="J42" s="38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42" s="38" t="s">
        <v>53</v>
      </c>
      <c r="L42" s="38">
        <v>4</v>
      </c>
      <c r="M42" s="118"/>
      <c r="N42" s="68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18</v>
      </c>
      <c r="O42" s="69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42" s="69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42" s="69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2" s="69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42" s="70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42" s="68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10</v>
      </c>
      <c r="U42" s="69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11</v>
      </c>
      <c r="V42" s="69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42" s="69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42" s="69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42" s="69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42" s="69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42" s="70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42" s="87" t="b">
        <f>ISNUMBER(SEARCH($H$4,Tabla1[[#This Row],[Materia]],1))</f>
        <v>1</v>
      </c>
      <c r="AC42" s="87" t="b">
        <f>IFERROR(IF(
    (COUNTIF(Tabla1[[#This Row],[R1]:[A8]], _xlfn.XLOOKUP($H$4,Tabla1[Materia],Tabla1[Numero],""))) &gt; 0,
    TRUE,
    FALSE
),FALSE)</f>
        <v>0</v>
      </c>
      <c r="AD42" s="161">
        <v>31</v>
      </c>
      <c r="AE42" s="19"/>
      <c r="AF42" s="19"/>
      <c r="AG42" s="19"/>
      <c r="AH42" s="19"/>
      <c r="AI42" s="19"/>
      <c r="AJ42" s="19"/>
      <c r="AK42" s="19"/>
      <c r="AL42" s="19"/>
      <c r="AM42" s="23"/>
    </row>
    <row r="43" spans="1:39" ht="17.25" customHeight="1" x14ac:dyDescent="0.25">
      <c r="A43" s="17"/>
      <c r="B43" s="163">
        <v>32</v>
      </c>
      <c r="C43" s="118">
        <v>32</v>
      </c>
      <c r="D43" s="136" t="s">
        <v>67</v>
      </c>
      <c r="E43" s="60" t="s">
        <v>116</v>
      </c>
      <c r="F43" s="38" t="str">
        <f>_xlfn.XLOOKUP(Tabla1[[#This Row],[Estado]],Control!$C$32:$C$34,Control!$B$32:$B$34,"")</f>
        <v/>
      </c>
      <c r="G43" s="94"/>
      <c r="H43" s="125"/>
      <c r="I43" s="38" t="s">
        <v>6</v>
      </c>
      <c r="J43" s="38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43" s="38" t="s">
        <v>53</v>
      </c>
      <c r="L43" s="38">
        <v>2</v>
      </c>
      <c r="M43" s="118"/>
      <c r="N43" s="68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15</v>
      </c>
      <c r="O43" s="69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19</v>
      </c>
      <c r="P43" s="69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43" s="69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3" s="69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43" s="70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43" s="68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3</v>
      </c>
      <c r="U43" s="69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4</v>
      </c>
      <c r="V43" s="69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10</v>
      </c>
      <c r="W43" s="69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11</v>
      </c>
      <c r="X43" s="69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14</v>
      </c>
      <c r="Y43" s="69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43" s="69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43" s="70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43" s="87" t="b">
        <f>ISNUMBER(SEARCH($H$4,Tabla1[[#This Row],[Materia]],1))</f>
        <v>1</v>
      </c>
      <c r="AC43" s="87" t="b">
        <f>IFERROR(IF(
    (COUNTIF(Tabla1[[#This Row],[R1]:[A8]], _xlfn.XLOOKUP($H$4,Tabla1[Materia],Tabla1[Numero],""))) &gt; 0,
    TRUE,
    FALSE
),FALSE)</f>
        <v>0</v>
      </c>
      <c r="AD43" s="161">
        <v>32</v>
      </c>
      <c r="AE43" s="19"/>
      <c r="AF43" s="19"/>
      <c r="AG43" s="19"/>
      <c r="AH43" s="19"/>
      <c r="AI43" s="19"/>
      <c r="AJ43" s="19"/>
      <c r="AK43" s="19"/>
      <c r="AL43" s="19"/>
      <c r="AM43" s="23"/>
    </row>
    <row r="44" spans="1:39" ht="17.25" customHeight="1" x14ac:dyDescent="0.25">
      <c r="A44" s="17"/>
      <c r="B44" s="163">
        <v>33</v>
      </c>
      <c r="C44" s="118">
        <v>33</v>
      </c>
      <c r="D44" s="136" t="s">
        <v>67</v>
      </c>
      <c r="E44" s="60" t="s">
        <v>151</v>
      </c>
      <c r="F44" s="38" t="str">
        <f>_xlfn.XLOOKUP(Tabla1[[#This Row],[Estado]],Control!$C$32:$C$34,Control!$B$32:$B$34,"")</f>
        <v/>
      </c>
      <c r="G44" s="94"/>
      <c r="H44" s="125"/>
      <c r="I44" s="38" t="s">
        <v>6</v>
      </c>
      <c r="J44" s="38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44" s="38" t="s">
        <v>53</v>
      </c>
      <c r="L44" s="38">
        <v>2</v>
      </c>
      <c r="M44" s="118"/>
      <c r="N44" s="68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16</v>
      </c>
      <c r="O44" s="69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44" s="69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44" s="69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4" s="69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44" s="70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44" s="68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44" s="69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44" s="69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44" s="69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44" s="69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44" s="69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44" s="69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44" s="70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44" s="87" t="b">
        <f>ISNUMBER(SEARCH($H$4,Tabla1[[#This Row],[Materia]],1))</f>
        <v>1</v>
      </c>
      <c r="AC44" s="87" t="b">
        <f>IFERROR(IF(
    (COUNTIF(Tabla1[[#This Row],[R1]:[A8]], _xlfn.XLOOKUP($H$4,Tabla1[Materia],Tabla1[Numero],""))) &gt; 0,
    TRUE,
    FALSE
),FALSE)</f>
        <v>0</v>
      </c>
      <c r="AD44" s="161">
        <v>33</v>
      </c>
      <c r="AE44" s="19"/>
      <c r="AF44" s="19"/>
      <c r="AG44" s="19"/>
      <c r="AH44" s="19"/>
      <c r="AI44" s="19"/>
      <c r="AJ44" s="19"/>
      <c r="AK44" s="19"/>
      <c r="AL44" s="19"/>
      <c r="AM44" s="23"/>
    </row>
    <row r="45" spans="1:39" ht="17.25" customHeight="1" x14ac:dyDescent="0.25">
      <c r="A45" s="17"/>
      <c r="B45" s="163">
        <v>34</v>
      </c>
      <c r="C45" s="118">
        <v>34</v>
      </c>
      <c r="D45" s="136" t="s">
        <v>67</v>
      </c>
      <c r="E45" s="60" t="s">
        <v>117</v>
      </c>
      <c r="F45" s="38" t="str">
        <f>_xlfn.XLOOKUP(Tabla1[[#This Row],[Estado]],Control!$C$32:$C$34,Control!$B$32:$B$34,"")</f>
        <v/>
      </c>
      <c r="G45" s="94"/>
      <c r="H45" s="125"/>
      <c r="I45" s="38" t="s">
        <v>6</v>
      </c>
      <c r="J45" s="38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45" s="38" t="s">
        <v>53</v>
      </c>
      <c r="L45" s="38">
        <v>3</v>
      </c>
      <c r="M45" s="118"/>
      <c r="N45" s="68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20</v>
      </c>
      <c r="O45" s="69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21</v>
      </c>
      <c r="P45" s="69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22</v>
      </c>
      <c r="Q45" s="69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24</v>
      </c>
      <c r="R45" s="69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45" s="70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45" s="68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</v>
      </c>
      <c r="U45" s="69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9</v>
      </c>
      <c r="V45" s="69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12</v>
      </c>
      <c r="W45" s="69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13</v>
      </c>
      <c r="X45" s="69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45" s="69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45" s="69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45" s="70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45" s="87" t="b">
        <f>ISNUMBER(SEARCH($H$4,Tabla1[[#This Row],[Materia]],1))</f>
        <v>1</v>
      </c>
      <c r="AC45" s="87" t="b">
        <f>IFERROR(IF(
    (COUNTIF(Tabla1[[#This Row],[R1]:[A8]], _xlfn.XLOOKUP($H$4,Tabla1[Materia],Tabla1[Numero],""))) &gt; 0,
    TRUE,
    FALSE
),FALSE)</f>
        <v>0</v>
      </c>
      <c r="AD45" s="161">
        <v>34</v>
      </c>
      <c r="AE45" s="19"/>
      <c r="AF45" s="19"/>
      <c r="AG45" s="19"/>
      <c r="AH45" s="19"/>
      <c r="AI45" s="19"/>
      <c r="AJ45" s="19"/>
      <c r="AK45" s="19"/>
      <c r="AL45" s="19"/>
      <c r="AM45" s="23"/>
    </row>
    <row r="46" spans="1:39" ht="17.25" customHeight="1" thickBot="1" x14ac:dyDescent="0.3">
      <c r="A46" s="17"/>
      <c r="B46" s="212">
        <v>35</v>
      </c>
      <c r="C46" s="213">
        <v>35</v>
      </c>
      <c r="D46" s="214" t="s">
        <v>67</v>
      </c>
      <c r="E46" s="215" t="s">
        <v>23</v>
      </c>
      <c r="F46" s="216" t="str">
        <f>_xlfn.XLOOKUP(Tabla1[[#This Row],[Estado]],Control!$C$32:$C$34,Control!$B$32:$B$34,"")</f>
        <v/>
      </c>
      <c r="G46" s="217"/>
      <c r="H46" s="218"/>
      <c r="I46" s="216" t="s">
        <v>6</v>
      </c>
      <c r="J46" s="216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46" s="216" t="s">
        <v>53</v>
      </c>
      <c r="L46" s="216">
        <v>2</v>
      </c>
      <c r="M46" s="213"/>
      <c r="N46" s="219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46" s="220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46" s="220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46" s="22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6" s="220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46" s="221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46" s="219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10</v>
      </c>
      <c r="U46" s="220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46" s="220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46" s="220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46" s="220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46" s="220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46" s="220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46" s="221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46" s="129" t="b">
        <f>ISNUMBER(SEARCH($H$4,Tabla1[[#This Row],[Materia]],1))</f>
        <v>1</v>
      </c>
      <c r="AC46" s="129" t="b">
        <f>IFERROR(IF(
    (COUNTIF(Tabla1[[#This Row],[R1]:[A8]], _xlfn.XLOOKUP($H$4,Tabla1[Materia],Tabla1[Numero],""))) &gt; 0,
    TRUE,
    FALSE
),FALSE)</f>
        <v>0</v>
      </c>
      <c r="AD46" s="188">
        <v>35</v>
      </c>
      <c r="AE46" s="19"/>
      <c r="AF46" s="19"/>
      <c r="AG46" s="19"/>
      <c r="AH46" s="19"/>
      <c r="AI46" s="19"/>
      <c r="AJ46" s="19"/>
      <c r="AK46" s="19"/>
      <c r="AL46" s="19"/>
      <c r="AM46" s="23"/>
    </row>
    <row r="47" spans="1:39" ht="17.25" customHeight="1" x14ac:dyDescent="0.25">
      <c r="A47" s="17"/>
      <c r="B47" s="164">
        <v>36</v>
      </c>
      <c r="C47" s="119">
        <v>36</v>
      </c>
      <c r="D47" s="137" t="s">
        <v>68</v>
      </c>
      <c r="E47" s="61" t="s">
        <v>118</v>
      </c>
      <c r="F47" s="18" t="str">
        <f>_xlfn.XLOOKUP(Tabla1[[#This Row],[Estado]],Control!$C$32:$C$34,Control!$B$32:$B$34,"")</f>
        <v/>
      </c>
      <c r="G47" s="95"/>
      <c r="H47" s="126"/>
      <c r="I47" s="18" t="s">
        <v>6</v>
      </c>
      <c r="J47" s="18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47" s="18" t="s">
        <v>53</v>
      </c>
      <c r="L47" s="18">
        <v>3</v>
      </c>
      <c r="M47" s="119"/>
      <c r="N47" s="80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34</v>
      </c>
      <c r="O47" s="81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47" s="81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47" s="81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7" s="81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47" s="85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47" s="80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20</v>
      </c>
      <c r="U47" s="81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21</v>
      </c>
      <c r="V47" s="81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24</v>
      </c>
      <c r="W47" s="81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47" s="81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47" s="8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47" s="8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47" s="85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47" s="87" t="b">
        <f>ISNUMBER(SEARCH($H$4,Tabla1[[#This Row],[Materia]],1))</f>
        <v>1</v>
      </c>
      <c r="AC47" s="87" t="b">
        <f>IFERROR(IF(
    (COUNTIF(Tabla1[[#This Row],[R1]:[A8]], _xlfn.XLOOKUP($H$4,Tabla1[Materia],Tabla1[Numero],""))) &gt; 0,
    TRUE,
    FALSE
),FALSE)</f>
        <v>0</v>
      </c>
      <c r="AD47" s="161">
        <v>36</v>
      </c>
      <c r="AE47" s="19"/>
      <c r="AF47" s="19"/>
      <c r="AG47" s="19"/>
      <c r="AH47" s="19"/>
      <c r="AI47" s="19"/>
      <c r="AJ47" s="19"/>
      <c r="AK47" s="19"/>
      <c r="AL47" s="19"/>
      <c r="AM47" s="23"/>
    </row>
    <row r="48" spans="1:39" ht="17.25" customHeight="1" x14ac:dyDescent="0.25">
      <c r="A48" s="17"/>
      <c r="B48" s="164">
        <v>37</v>
      </c>
      <c r="C48" s="119">
        <v>37</v>
      </c>
      <c r="D48" s="137" t="s">
        <v>68</v>
      </c>
      <c r="E48" s="61" t="s">
        <v>134</v>
      </c>
      <c r="F48" s="18" t="str">
        <f>_xlfn.XLOOKUP(Tabla1[[#This Row],[Estado]],Control!$C$32:$C$34,Control!$B$32:$B$34,"")</f>
        <v/>
      </c>
      <c r="G48" s="95"/>
      <c r="H48" s="126"/>
      <c r="I48" s="18" t="s">
        <v>6</v>
      </c>
      <c r="J48" s="18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48" s="18" t="s">
        <v>53</v>
      </c>
      <c r="L48" s="18">
        <v>3</v>
      </c>
      <c r="M48" s="119"/>
      <c r="N48" s="80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18</v>
      </c>
      <c r="O48" s="81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29</v>
      </c>
      <c r="P48" s="81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48" s="81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8" s="81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48" s="85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48" s="80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9</v>
      </c>
      <c r="U48" s="81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10</v>
      </c>
      <c r="V48" s="81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21</v>
      </c>
      <c r="W48" s="81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48" s="81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48" s="8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48" s="8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48" s="85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48" s="87" t="b">
        <f>ISNUMBER(SEARCH($H$4,Tabla1[[#This Row],[Materia]],1))</f>
        <v>1</v>
      </c>
      <c r="AC48" s="87" t="b">
        <f>IFERROR(IF(
    (COUNTIF(Tabla1[[#This Row],[R1]:[A8]], _xlfn.XLOOKUP($H$4,Tabla1[Materia],Tabla1[Numero],""))) &gt; 0,
    TRUE,
    FALSE
),FALSE)</f>
        <v>0</v>
      </c>
      <c r="AD48" s="161">
        <v>37</v>
      </c>
      <c r="AE48" s="19"/>
      <c r="AF48" s="19"/>
      <c r="AG48" s="19"/>
      <c r="AH48" s="19"/>
      <c r="AI48" s="19"/>
      <c r="AJ48" s="19"/>
      <c r="AK48" s="19"/>
      <c r="AL48" s="19"/>
      <c r="AM48" s="23"/>
    </row>
    <row r="49" spans="1:39" ht="17.25" customHeight="1" x14ac:dyDescent="0.25">
      <c r="A49" s="17"/>
      <c r="B49" s="164">
        <v>38</v>
      </c>
      <c r="C49" s="119">
        <v>38</v>
      </c>
      <c r="D49" s="137" t="s">
        <v>68</v>
      </c>
      <c r="E49" s="61" t="s">
        <v>119</v>
      </c>
      <c r="F49" s="18" t="str">
        <f>_xlfn.XLOOKUP(Tabla1[[#This Row],[Estado]],Control!$C$32:$C$34,Control!$B$32:$B$34,"")</f>
        <v/>
      </c>
      <c r="G49" s="95"/>
      <c r="H49" s="126"/>
      <c r="I49" s="18" t="s">
        <v>6</v>
      </c>
      <c r="J49" s="18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49" s="18" t="s">
        <v>53</v>
      </c>
      <c r="L49" s="18">
        <v>3</v>
      </c>
      <c r="M49" s="119"/>
      <c r="N49" s="80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30</v>
      </c>
      <c r="O49" s="81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49" s="81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49" s="81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9" s="81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49" s="85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49" s="80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18</v>
      </c>
      <c r="U49" s="81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19</v>
      </c>
      <c r="V49" s="81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23</v>
      </c>
      <c r="W49" s="81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49" s="81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49" s="8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49" s="8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49" s="85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49" s="87" t="b">
        <f>ISNUMBER(SEARCH($H$4,Tabla1[[#This Row],[Materia]],1))</f>
        <v>1</v>
      </c>
      <c r="AC49" s="87" t="b">
        <f>IFERROR(IF(
    (COUNTIF(Tabla1[[#This Row],[R1]:[A8]], _xlfn.XLOOKUP($H$4,Tabla1[Materia],Tabla1[Numero],""))) &gt; 0,
    TRUE,
    FALSE
),FALSE)</f>
        <v>0</v>
      </c>
      <c r="AD49" s="161">
        <v>38</v>
      </c>
      <c r="AE49" s="19"/>
      <c r="AF49" s="19"/>
      <c r="AG49" s="19"/>
      <c r="AH49" s="19"/>
      <c r="AI49" s="19"/>
      <c r="AJ49" s="19"/>
      <c r="AK49" s="19"/>
      <c r="AL49" s="19"/>
      <c r="AM49" s="23"/>
    </row>
    <row r="50" spans="1:39" ht="17.25" customHeight="1" x14ac:dyDescent="0.25">
      <c r="A50" s="17"/>
      <c r="B50" s="164">
        <v>39</v>
      </c>
      <c r="C50" s="119">
        <v>39</v>
      </c>
      <c r="D50" s="137" t="s">
        <v>68</v>
      </c>
      <c r="E50" s="61" t="s">
        <v>120</v>
      </c>
      <c r="F50" s="18" t="str">
        <f>_xlfn.XLOOKUP(Tabla1[[#This Row],[Estado]],Control!$C$32:$C$34,Control!$B$32:$B$34,"")</f>
        <v/>
      </c>
      <c r="G50" s="95"/>
      <c r="H50" s="126"/>
      <c r="I50" s="18" t="s">
        <v>6</v>
      </c>
      <c r="J50" s="18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50" s="18" t="s">
        <v>53</v>
      </c>
      <c r="L50" s="18">
        <v>3</v>
      </c>
      <c r="M50" s="119"/>
      <c r="N50" s="80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18</v>
      </c>
      <c r="O50" s="81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50" s="81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50" s="81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0" s="81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50" s="85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50" s="80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10</v>
      </c>
      <c r="U50" s="81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11</v>
      </c>
      <c r="V50" s="81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50" s="81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50" s="81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50" s="8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50" s="8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50" s="85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50" s="87" t="b">
        <f>ISNUMBER(SEARCH($H$4,Tabla1[[#This Row],[Materia]],1))</f>
        <v>1</v>
      </c>
      <c r="AC50" s="87" t="b">
        <f>IFERROR(IF(
    (COUNTIF(Tabla1[[#This Row],[R1]:[A8]], _xlfn.XLOOKUP($H$4,Tabla1[Materia],Tabla1[Numero],""))) &gt; 0,
    TRUE,
    FALSE
),FALSE)</f>
        <v>0</v>
      </c>
      <c r="AD50" s="161">
        <v>39</v>
      </c>
      <c r="AE50" s="19"/>
      <c r="AF50" s="19"/>
      <c r="AG50" s="19"/>
      <c r="AH50" s="19"/>
      <c r="AI50" s="19"/>
      <c r="AJ50" s="19"/>
      <c r="AK50" s="19"/>
      <c r="AL50" s="19"/>
      <c r="AM50" s="23"/>
    </row>
    <row r="51" spans="1:39" ht="17.25" customHeight="1" x14ac:dyDescent="0.25">
      <c r="A51" s="17"/>
      <c r="B51" s="164">
        <v>40</v>
      </c>
      <c r="C51" s="119">
        <v>40</v>
      </c>
      <c r="D51" s="137" t="s">
        <v>68</v>
      </c>
      <c r="E51" s="61" t="s">
        <v>121</v>
      </c>
      <c r="F51" s="18" t="str">
        <f>_xlfn.XLOOKUP(Tabla1[[#This Row],[Estado]],Control!$C$32:$C$34,Control!$B$32:$B$34,"")</f>
        <v/>
      </c>
      <c r="G51" s="95"/>
      <c r="H51" s="126"/>
      <c r="I51" s="18" t="s">
        <v>6</v>
      </c>
      <c r="J51" s="18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51" s="18" t="s">
        <v>53</v>
      </c>
      <c r="L51" s="18">
        <v>3</v>
      </c>
      <c r="M51" s="119"/>
      <c r="N51" s="80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18</v>
      </c>
      <c r="O51" s="81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51" s="81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51" s="81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1" s="81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51" s="85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51" s="80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10</v>
      </c>
      <c r="U51" s="81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11</v>
      </c>
      <c r="V51" s="81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51" s="81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51" s="81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51" s="8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51" s="8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51" s="85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51" s="87" t="b">
        <f>ISNUMBER(SEARCH($H$4,Tabla1[[#This Row],[Materia]],1))</f>
        <v>1</v>
      </c>
      <c r="AC51" s="87" t="b">
        <f>IFERROR(IF(
    (COUNTIF(Tabla1[[#This Row],[R1]:[A8]], _xlfn.XLOOKUP($H$4,Tabla1[Materia],Tabla1[Numero],""))) &gt; 0,
    TRUE,
    FALSE
),FALSE)</f>
        <v>0</v>
      </c>
      <c r="AD51" s="161">
        <v>40</v>
      </c>
      <c r="AE51" s="19"/>
      <c r="AF51" s="19"/>
      <c r="AG51" s="19"/>
      <c r="AH51" s="19"/>
      <c r="AI51" s="19"/>
      <c r="AJ51" s="19"/>
      <c r="AK51" s="19"/>
      <c r="AL51" s="19"/>
      <c r="AM51" s="23"/>
    </row>
    <row r="52" spans="1:39" ht="17.25" customHeight="1" x14ac:dyDescent="0.25">
      <c r="A52" s="17"/>
      <c r="B52" s="164">
        <v>41</v>
      </c>
      <c r="C52" s="119">
        <v>41</v>
      </c>
      <c r="D52" s="137" t="s">
        <v>68</v>
      </c>
      <c r="E52" s="61" t="s">
        <v>122</v>
      </c>
      <c r="F52" s="18" t="str">
        <f>_xlfn.XLOOKUP(Tabla1[[#This Row],[Estado]],Control!$C$32:$C$34,Control!$B$32:$B$34,"")</f>
        <v/>
      </c>
      <c r="G52" s="95"/>
      <c r="H52" s="126"/>
      <c r="I52" s="18" t="s">
        <v>6</v>
      </c>
      <c r="J52" s="18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52" s="18" t="s">
        <v>53</v>
      </c>
      <c r="L52" s="18">
        <v>3</v>
      </c>
      <c r="M52" s="119"/>
      <c r="N52" s="80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17</v>
      </c>
      <c r="O52" s="81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23</v>
      </c>
      <c r="P52" s="81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52" s="81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2" s="81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52" s="85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52" s="80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10</v>
      </c>
      <c r="U52" s="81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14</v>
      </c>
      <c r="V52" s="81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52" s="81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52" s="81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52" s="8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52" s="8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52" s="85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52" s="87" t="b">
        <f>ISNUMBER(SEARCH($H$4,Tabla1[[#This Row],[Materia]],1))</f>
        <v>1</v>
      </c>
      <c r="AC52" s="87" t="b">
        <f>IFERROR(IF(
    (COUNTIF(Tabla1[[#This Row],[R1]:[A8]], _xlfn.XLOOKUP($H$4,Tabla1[Materia],Tabla1[Numero],""))) &gt; 0,
    TRUE,
    FALSE
),FALSE)</f>
        <v>0</v>
      </c>
      <c r="AD52" s="161">
        <v>41</v>
      </c>
      <c r="AE52" s="19"/>
      <c r="AF52" s="19"/>
      <c r="AG52" s="19"/>
      <c r="AH52" s="19"/>
      <c r="AI52" s="19"/>
      <c r="AJ52" s="19"/>
      <c r="AK52" s="19"/>
      <c r="AL52" s="19"/>
      <c r="AM52" s="23"/>
    </row>
    <row r="53" spans="1:39" ht="17.25" customHeight="1" x14ac:dyDescent="0.25">
      <c r="A53" s="17"/>
      <c r="B53" s="164">
        <v>42</v>
      </c>
      <c r="C53" s="119">
        <v>42</v>
      </c>
      <c r="D53" s="137" t="s">
        <v>68</v>
      </c>
      <c r="E53" s="61" t="s">
        <v>2</v>
      </c>
      <c r="F53" s="18" t="str">
        <f>_xlfn.XLOOKUP(Tabla1[[#This Row],[Estado]],Control!$C$32:$C$34,Control!$B$32:$B$34,"")</f>
        <v/>
      </c>
      <c r="G53" s="95"/>
      <c r="H53" s="126"/>
      <c r="I53" s="18" t="s">
        <v>6</v>
      </c>
      <c r="J53" s="18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53" s="18" t="s">
        <v>53</v>
      </c>
      <c r="L53" s="18">
        <v>6</v>
      </c>
      <c r="M53" s="119"/>
      <c r="N53" s="80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25</v>
      </c>
      <c r="O53" s="81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26</v>
      </c>
      <c r="P53" s="81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27</v>
      </c>
      <c r="Q53" s="81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28</v>
      </c>
      <c r="R53" s="81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30</v>
      </c>
      <c r="S53" s="85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31</v>
      </c>
      <c r="T53" s="80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18</v>
      </c>
      <c r="U53" s="81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19</v>
      </c>
      <c r="V53" s="81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20</v>
      </c>
      <c r="W53" s="81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21</v>
      </c>
      <c r="X53" s="81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22</v>
      </c>
      <c r="Y53" s="81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23</v>
      </c>
      <c r="Z53" s="81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24</v>
      </c>
      <c r="AA53" s="85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33</v>
      </c>
      <c r="AB53" s="87" t="b">
        <f>ISNUMBER(SEARCH($H$4,Tabla1[[#This Row],[Materia]],1))</f>
        <v>1</v>
      </c>
      <c r="AC53" s="87" t="b">
        <f>IFERROR(IF(
    (COUNTIF(Tabla1[[#This Row],[R1]:[A8]], _xlfn.XLOOKUP($H$4,Tabla1[Materia],Tabla1[Numero],""))) &gt; 0,
    TRUE,
    FALSE
),FALSE)</f>
        <v>0</v>
      </c>
      <c r="AD53" s="161">
        <v>42</v>
      </c>
      <c r="AE53" s="19"/>
      <c r="AF53" s="19"/>
      <c r="AG53" s="19"/>
      <c r="AH53" s="19"/>
      <c r="AI53" s="19"/>
      <c r="AJ53" s="19"/>
      <c r="AK53" s="19"/>
      <c r="AL53" s="19"/>
      <c r="AM53" s="23"/>
    </row>
    <row r="54" spans="1:39" ht="17.25" customHeight="1" x14ac:dyDescent="0.25">
      <c r="A54" s="17"/>
      <c r="B54" s="165">
        <v>43</v>
      </c>
      <c r="C54" s="140">
        <v>43</v>
      </c>
      <c r="D54" s="141" t="s">
        <v>68</v>
      </c>
      <c r="E54" s="142" t="s">
        <v>137</v>
      </c>
      <c r="F54" s="139" t="str">
        <f>_xlfn.XLOOKUP(Tabla1[[#This Row],[Estado]],Control!$C$32:$C$34,Control!$B$32:$B$34,"")</f>
        <v/>
      </c>
      <c r="G54" s="143"/>
      <c r="H54" s="144"/>
      <c r="I54" s="139"/>
      <c r="J54" s="139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54" s="139" t="s">
        <v>53</v>
      </c>
      <c r="L54" s="139"/>
      <c r="M54" s="140"/>
      <c r="N54" s="145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25</v>
      </c>
      <c r="O54" s="146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26</v>
      </c>
      <c r="P54" s="146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27</v>
      </c>
      <c r="Q54" s="146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28</v>
      </c>
      <c r="R54" s="146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30</v>
      </c>
      <c r="S54" s="147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31</v>
      </c>
      <c r="T54" s="145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18</v>
      </c>
      <c r="U54" s="146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19</v>
      </c>
      <c r="V54" s="146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20</v>
      </c>
      <c r="W54" s="146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21</v>
      </c>
      <c r="X54" s="146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22</v>
      </c>
      <c r="Y54" s="146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23</v>
      </c>
      <c r="Z54" s="146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24</v>
      </c>
      <c r="AA54" s="147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33</v>
      </c>
      <c r="AB54" s="88" t="b">
        <f>ISNUMBER(SEARCH($H$4,Tabla1[[#This Row],[Materia]],1))</f>
        <v>1</v>
      </c>
      <c r="AC54" s="88" t="b">
        <f>IFERROR(IF(
    (COUNTIF(Tabla1[[#This Row],[R1]:[A8]], _xlfn.XLOOKUP($H$4,Tabla1[Materia],Tabla1[Numero],""))) &gt; 0,
    TRUE,
    FALSE
),FALSE)</f>
        <v>0</v>
      </c>
      <c r="AD54" s="222">
        <v>43</v>
      </c>
      <c r="AE54" s="19"/>
      <c r="AF54" s="19"/>
      <c r="AG54" s="19"/>
      <c r="AH54" s="19"/>
      <c r="AI54" s="19"/>
      <c r="AJ54" s="19"/>
      <c r="AK54" s="19"/>
      <c r="AL54" s="19"/>
      <c r="AM54" s="23"/>
    </row>
    <row r="55" spans="1:39" ht="17.25" customHeight="1" thickBot="1" x14ac:dyDescent="0.3">
      <c r="A55" s="17"/>
      <c r="B55" s="166" t="s">
        <v>25</v>
      </c>
      <c r="C55" s="120" t="s">
        <v>25</v>
      </c>
      <c r="D55" s="138" t="s">
        <v>68</v>
      </c>
      <c r="E55" s="62" t="s">
        <v>123</v>
      </c>
      <c r="F55" s="37" t="str">
        <f>_xlfn.XLOOKUP(Tabla1[[#This Row],[Estado]],Control!$C$32:$C$34,Control!$B$32:$B$34,"")</f>
        <v/>
      </c>
      <c r="G55" s="96"/>
      <c r="H55" s="127"/>
      <c r="I55" s="37" t="s">
        <v>16</v>
      </c>
      <c r="J55" s="37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55" s="37" t="s">
        <v>54</v>
      </c>
      <c r="L55" s="37">
        <v>4</v>
      </c>
      <c r="M55" s="120">
        <v>2</v>
      </c>
      <c r="N55" s="167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26</v>
      </c>
      <c r="O55" s="151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55" s="151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55" s="151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5" s="151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55" s="83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55" s="167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5</v>
      </c>
      <c r="U55" s="151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55" s="151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55" s="151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55" s="151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55" s="15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55" s="15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55" s="83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55" s="129" t="b">
        <f>ISNUMBER(SEARCH($H$4,Tabla1[[#This Row],[Materia]],1))</f>
        <v>1</v>
      </c>
      <c r="AC55" s="129" t="b">
        <f>IFERROR(IF(
    (COUNTIF(Tabla1[[#This Row],[R1]:[A8]], _xlfn.XLOOKUP($H$4,Tabla1[Materia],Tabla1[Numero],""))) &gt; 0,
    TRUE,
    FALSE
),FALSE)</f>
        <v>0</v>
      </c>
      <c r="AD55" s="161">
        <v>44</v>
      </c>
      <c r="AE55" s="19"/>
      <c r="AF55" s="19"/>
      <c r="AG55" s="19"/>
      <c r="AH55" s="19"/>
      <c r="AI55" s="19"/>
      <c r="AJ55" s="19"/>
      <c r="AK55" s="19"/>
      <c r="AL55" s="19"/>
      <c r="AM55" s="23"/>
    </row>
    <row r="56" spans="1:39" ht="16.5" customHeight="1" thickBot="1" x14ac:dyDescent="0.3">
      <c r="A56" s="17"/>
      <c r="B56" s="166" t="s">
        <v>26</v>
      </c>
      <c r="C56" s="120" t="s">
        <v>26</v>
      </c>
      <c r="D56" s="138" t="s">
        <v>68</v>
      </c>
      <c r="E56" s="62" t="s">
        <v>125</v>
      </c>
      <c r="F56" s="37" t="str">
        <f>_xlfn.XLOOKUP(Tabla1[[#This Row],[Estado]],Control!$C$32:$C$34,Control!$B$32:$B$34,"")</f>
        <v/>
      </c>
      <c r="G56" s="96"/>
      <c r="H56" s="127"/>
      <c r="I56" s="37" t="s">
        <v>16</v>
      </c>
      <c r="J56" s="37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56" s="37" t="s">
        <v>54</v>
      </c>
      <c r="L56" s="37">
        <v>4</v>
      </c>
      <c r="M56" s="120">
        <v>2</v>
      </c>
      <c r="N56" s="167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27</v>
      </c>
      <c r="O56" s="151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31</v>
      </c>
      <c r="P56" s="151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32</v>
      </c>
      <c r="Q56" s="151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6" s="151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56" s="83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56" s="167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10</v>
      </c>
      <c r="U56" s="151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14</v>
      </c>
      <c r="V56" s="151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17</v>
      </c>
      <c r="W56" s="151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18</v>
      </c>
      <c r="X56" s="151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56" s="15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56" s="15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56" s="83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56" s="129" t="b">
        <f>ISNUMBER(SEARCH($H$4,Tabla1[[#This Row],[Materia]],1))</f>
        <v>1</v>
      </c>
      <c r="AC56" s="129" t="b">
        <f>IFERROR(IF(
    (COUNTIF(Tabla1[[#This Row],[R1]:[A8]], _xlfn.XLOOKUP($H$4,Tabla1[Materia],Tabla1[Numero],""))) &gt; 0,
    TRUE,
    FALSE
),FALSE)</f>
        <v>0</v>
      </c>
      <c r="AD56" s="161">
        <v>45</v>
      </c>
      <c r="AE56" s="19"/>
      <c r="AF56" s="19"/>
      <c r="AG56" s="19"/>
      <c r="AH56" s="19"/>
      <c r="AI56" s="19"/>
      <c r="AJ56" s="19"/>
      <c r="AK56" s="19"/>
      <c r="AL56" s="19"/>
      <c r="AM56" s="23"/>
    </row>
    <row r="57" spans="1:39" ht="17.25" customHeight="1" thickBot="1" x14ac:dyDescent="0.3">
      <c r="A57" s="17"/>
      <c r="B57" s="166" t="s">
        <v>95</v>
      </c>
      <c r="C57" s="120" t="s">
        <v>95</v>
      </c>
      <c r="D57" s="138" t="s">
        <v>68</v>
      </c>
      <c r="E57" s="62" t="s">
        <v>124</v>
      </c>
      <c r="F57" s="37" t="str">
        <f>_xlfn.XLOOKUP(Tabla1[[#This Row],[Estado]],Control!$C$32:$C$34,Control!$B$32:$B$34,"")</f>
        <v/>
      </c>
      <c r="G57" s="96"/>
      <c r="H57" s="127"/>
      <c r="I57" s="37" t="s">
        <v>16</v>
      </c>
      <c r="J57" s="37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57" s="37" t="s">
        <v>54</v>
      </c>
      <c r="L57" s="37">
        <v>4</v>
      </c>
      <c r="M57" s="120">
        <v>2</v>
      </c>
      <c r="N57" s="167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30</v>
      </c>
      <c r="O57" s="151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31</v>
      </c>
      <c r="P57" s="151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57" s="151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7" s="151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57" s="83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57" s="167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10</v>
      </c>
      <c r="U57" s="151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17</v>
      </c>
      <c r="V57" s="151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19</v>
      </c>
      <c r="W57" s="151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23</v>
      </c>
      <c r="X57" s="151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57" s="15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57" s="15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57" s="83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57" s="129" t="b">
        <f>ISNUMBER(SEARCH($H$4,Tabla1[[#This Row],[Materia]],1))</f>
        <v>1</v>
      </c>
      <c r="AC57" s="129" t="b">
        <f>IFERROR(IF(
    (COUNTIF(Tabla1[[#This Row],[R1]:[A8]], _xlfn.XLOOKUP($H$4,Tabla1[Materia],Tabla1[Numero],""))) &gt; 0,
    TRUE,
    FALSE
),FALSE)</f>
        <v>0</v>
      </c>
      <c r="AD57" s="161">
        <v>46</v>
      </c>
      <c r="AE57" s="19"/>
      <c r="AF57" s="19"/>
      <c r="AG57" s="19"/>
      <c r="AH57" s="19"/>
      <c r="AI57" s="19"/>
      <c r="AJ57" s="19"/>
      <c r="AK57" s="19"/>
      <c r="AL57" s="19"/>
      <c r="AM57" s="23"/>
    </row>
    <row r="58" spans="1:39" ht="17.25" customHeight="1" thickBot="1" x14ac:dyDescent="0.3">
      <c r="A58" s="17"/>
      <c r="B58" s="166" t="s">
        <v>138</v>
      </c>
      <c r="C58" s="120" t="s">
        <v>138</v>
      </c>
      <c r="D58" s="138" t="s">
        <v>68</v>
      </c>
      <c r="E58" s="62" t="s">
        <v>126</v>
      </c>
      <c r="F58" s="37" t="str">
        <f>_xlfn.XLOOKUP(Tabla1[[#This Row],[Estado]],Control!$C$32:$C$34,Control!$B$32:$B$34,"")</f>
        <v/>
      </c>
      <c r="G58" s="96"/>
      <c r="H58" s="127"/>
      <c r="I58" s="37" t="s">
        <v>16</v>
      </c>
      <c r="J58" s="37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58" s="37" t="s">
        <v>54</v>
      </c>
      <c r="L58" s="37">
        <v>4</v>
      </c>
      <c r="M58" s="120">
        <v>2</v>
      </c>
      <c r="N58" s="167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27</v>
      </c>
      <c r="O58" s="151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30</v>
      </c>
      <c r="P58" s="151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31</v>
      </c>
      <c r="Q58" s="151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8" s="151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58" s="83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58" s="167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18</v>
      </c>
      <c r="U58" s="151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23</v>
      </c>
      <c r="V58" s="151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58" s="151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58" s="151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58" s="15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58" s="15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58" s="83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58" s="129" t="b">
        <f>ISNUMBER(SEARCH($H$4,Tabla1[[#This Row],[Materia]],1))</f>
        <v>1</v>
      </c>
      <c r="AC58" s="129" t="b">
        <f>IFERROR(IF(
    (COUNTIF(Tabla1[[#This Row],[R1]:[A8]], _xlfn.XLOOKUP($H$4,Tabla1[Materia],Tabla1[Numero],""))) &gt; 0,
    TRUE,
    FALSE
),FALSE)</f>
        <v>0</v>
      </c>
      <c r="AD58" s="161">
        <v>47</v>
      </c>
      <c r="AE58" s="19"/>
      <c r="AF58" s="19"/>
      <c r="AG58" s="19"/>
      <c r="AH58" s="19"/>
      <c r="AI58" s="26"/>
      <c r="AJ58" s="26"/>
      <c r="AK58" s="19"/>
      <c r="AL58" s="19"/>
      <c r="AM58" s="23"/>
    </row>
    <row r="59" spans="1:39" ht="17.25" customHeight="1" thickBot="1" x14ac:dyDescent="0.3">
      <c r="A59" s="17"/>
      <c r="B59" s="166" t="s">
        <v>96</v>
      </c>
      <c r="C59" s="120" t="s">
        <v>96</v>
      </c>
      <c r="D59" s="138" t="s">
        <v>68</v>
      </c>
      <c r="E59" s="62" t="s">
        <v>127</v>
      </c>
      <c r="F59" s="37" t="str">
        <f>_xlfn.XLOOKUP(Tabla1[[#This Row],[Estado]],Control!$C$32:$C$34,Control!$B$32:$B$34,"")</f>
        <v/>
      </c>
      <c r="G59" s="96"/>
      <c r="H59" s="127"/>
      <c r="I59" s="37" t="s">
        <v>17</v>
      </c>
      <c r="J59" s="37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59" s="37" t="s">
        <v>54</v>
      </c>
      <c r="L59" s="37">
        <v>4</v>
      </c>
      <c r="M59" s="120">
        <v>2</v>
      </c>
      <c r="N59" s="167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30</v>
      </c>
      <c r="O59" s="151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59" s="151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59" s="151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9" s="151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59" s="83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59" s="167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19</v>
      </c>
      <c r="U59" s="151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23</v>
      </c>
      <c r="V59" s="151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59" s="151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59" s="151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59" s="15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59" s="15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59" s="83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59" s="129" t="b">
        <f>ISNUMBER(SEARCH($H$4,Tabla1[[#This Row],[Materia]],1))</f>
        <v>1</v>
      </c>
      <c r="AC59" s="129" t="b">
        <f>IFERROR(IF(
    (COUNTIF(Tabla1[[#This Row],[R1]:[A8]], _xlfn.XLOOKUP($H$4,Tabla1[Materia],Tabla1[Numero],""))) &gt; 0,
    TRUE,
    FALSE
),FALSE)</f>
        <v>0</v>
      </c>
      <c r="AD59" s="161">
        <v>48</v>
      </c>
      <c r="AE59" s="19"/>
      <c r="AF59" s="19"/>
      <c r="AG59" s="19"/>
      <c r="AH59" s="19"/>
      <c r="AI59" s="19"/>
      <c r="AJ59" s="19"/>
      <c r="AK59" s="19"/>
      <c r="AL59" s="19"/>
      <c r="AM59" s="23"/>
    </row>
    <row r="60" spans="1:39" ht="17.25" customHeight="1" thickBot="1" x14ac:dyDescent="0.3">
      <c r="A60" s="17"/>
      <c r="B60" s="166" t="s">
        <v>139</v>
      </c>
      <c r="C60" s="120" t="s">
        <v>139</v>
      </c>
      <c r="D60" s="138" t="s">
        <v>68</v>
      </c>
      <c r="E60" s="62" t="s">
        <v>132</v>
      </c>
      <c r="F60" s="37" t="str">
        <f>_xlfn.XLOOKUP(Tabla1[[#This Row],[Estado]],Control!$C$32:$C$34,Control!$B$32:$B$34,"")</f>
        <v/>
      </c>
      <c r="G60" s="96"/>
      <c r="H60" s="127"/>
      <c r="I60" s="37" t="s">
        <v>16</v>
      </c>
      <c r="J60" s="37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60" s="37" t="s">
        <v>54</v>
      </c>
      <c r="L60" s="37">
        <v>4</v>
      </c>
      <c r="M60" s="120">
        <v>2</v>
      </c>
      <c r="N60" s="167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20</v>
      </c>
      <c r="O60" s="151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24</v>
      </c>
      <c r="P60" s="151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26</v>
      </c>
      <c r="Q60" s="151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28</v>
      </c>
      <c r="R60" s="151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32</v>
      </c>
      <c r="S60" s="83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60" s="167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</v>
      </c>
      <c r="U60" s="151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60" s="151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60" s="151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60" s="151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60" s="15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60" s="15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60" s="83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60" s="129" t="b">
        <f>ISNUMBER(SEARCH($H$4,Tabla1[[#This Row],[Materia]],1))</f>
        <v>1</v>
      </c>
      <c r="AC60" s="129" t="b">
        <f>IFERROR(IF(
    (COUNTIF(Tabla1[[#This Row],[R1]:[A8]], _xlfn.XLOOKUP($H$4,Tabla1[Materia],Tabla1[Numero],""))) &gt; 0,
    TRUE,
    FALSE
),FALSE)</f>
        <v>0</v>
      </c>
      <c r="AD60" s="161">
        <v>49</v>
      </c>
      <c r="AE60" s="19"/>
      <c r="AF60" s="19"/>
      <c r="AG60" s="19"/>
      <c r="AH60" s="19"/>
      <c r="AI60" s="19"/>
      <c r="AJ60" s="19"/>
      <c r="AK60" s="19"/>
      <c r="AL60" s="19"/>
      <c r="AM60" s="23"/>
    </row>
    <row r="61" spans="1:39" ht="17.25" customHeight="1" thickBot="1" x14ac:dyDescent="0.3">
      <c r="A61" s="17"/>
      <c r="B61" s="166" t="s">
        <v>97</v>
      </c>
      <c r="C61" s="120" t="s">
        <v>97</v>
      </c>
      <c r="D61" s="138" t="s">
        <v>68</v>
      </c>
      <c r="E61" s="62" t="s">
        <v>135</v>
      </c>
      <c r="F61" s="37" t="str">
        <f>_xlfn.XLOOKUP(Tabla1[[#This Row],[Estado]],Control!$C$32:$C$34,Control!$B$32:$B$34,"")</f>
        <v/>
      </c>
      <c r="G61" s="96"/>
      <c r="H61" s="127"/>
      <c r="I61" s="37" t="s">
        <v>17</v>
      </c>
      <c r="J61" s="37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61" s="37" t="s">
        <v>54</v>
      </c>
      <c r="L61" s="37">
        <v>4</v>
      </c>
      <c r="M61" s="120">
        <v>2</v>
      </c>
      <c r="N61" s="167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18</v>
      </c>
      <c r="O61" s="151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27</v>
      </c>
      <c r="P61" s="151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61" s="151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61" s="151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61" s="83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61" s="167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10</v>
      </c>
      <c r="U61" s="151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25</v>
      </c>
      <c r="V61" s="151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61" s="151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61" s="151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61" s="15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61" s="15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61" s="83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61" s="129" t="b">
        <f>ISNUMBER(SEARCH($H$4,Tabla1[[#This Row],[Materia]],1))</f>
        <v>1</v>
      </c>
      <c r="AC61" s="129" t="b">
        <f>IFERROR(IF(
    (COUNTIF(Tabla1[[#This Row],[R1]:[A8]], _xlfn.XLOOKUP($H$4,Tabla1[Materia],Tabla1[Numero],""))) &gt; 0,
    TRUE,
    FALSE
),FALSE)</f>
        <v>0</v>
      </c>
      <c r="AD61" s="161">
        <v>50</v>
      </c>
      <c r="AE61" s="19"/>
      <c r="AF61" s="19"/>
      <c r="AG61" s="19"/>
      <c r="AH61" s="19"/>
      <c r="AI61" s="19"/>
      <c r="AJ61" s="19"/>
      <c r="AK61" s="19"/>
      <c r="AL61" s="19"/>
      <c r="AM61" s="23"/>
    </row>
    <row r="62" spans="1:39" ht="17.25" customHeight="1" thickBot="1" x14ac:dyDescent="0.3">
      <c r="A62" s="17"/>
      <c r="B62" s="166" t="s">
        <v>140</v>
      </c>
      <c r="C62" s="120" t="s">
        <v>140</v>
      </c>
      <c r="D62" s="138" t="s">
        <v>68</v>
      </c>
      <c r="E62" s="62" t="s">
        <v>128</v>
      </c>
      <c r="F62" s="37" t="str">
        <f>_xlfn.XLOOKUP(Tabla1[[#This Row],[Estado]],Control!$C$32:$C$34,Control!$B$32:$B$34,"")</f>
        <v/>
      </c>
      <c r="G62" s="96"/>
      <c r="H62" s="127"/>
      <c r="I62" s="37" t="s">
        <v>17</v>
      </c>
      <c r="J62" s="37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62" s="37" t="s">
        <v>54</v>
      </c>
      <c r="L62" s="37">
        <v>6</v>
      </c>
      <c r="M62" s="120">
        <v>3</v>
      </c>
      <c r="N62" s="167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17</v>
      </c>
      <c r="O62" s="151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18</v>
      </c>
      <c r="P62" s="151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19</v>
      </c>
      <c r="Q62" s="151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62" s="151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62" s="83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62" s="167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10</v>
      </c>
      <c r="U62" s="151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14</v>
      </c>
      <c r="V62" s="151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62" s="151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62" s="151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62" s="15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62" s="15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62" s="83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62" s="129" t="b">
        <f>ISNUMBER(SEARCH($H$4,Tabla1[[#This Row],[Materia]],1))</f>
        <v>1</v>
      </c>
      <c r="AC62" s="129" t="b">
        <f>IFERROR(IF(
    (COUNTIF(Tabla1[[#This Row],[R1]:[A8]], _xlfn.XLOOKUP($H$4,Tabla1[Materia],Tabla1[Numero],""))) &gt; 0,
    TRUE,
    FALSE
),FALSE)</f>
        <v>0</v>
      </c>
      <c r="AD62" s="161">
        <v>51</v>
      </c>
      <c r="AE62" s="19"/>
      <c r="AF62" s="19"/>
      <c r="AG62" s="19"/>
      <c r="AH62" s="19"/>
      <c r="AI62" s="19"/>
      <c r="AJ62" s="23"/>
    </row>
    <row r="63" spans="1:39" ht="16.5" thickBot="1" x14ac:dyDescent="0.3">
      <c r="A63" s="17"/>
      <c r="B63" s="166" t="s">
        <v>98</v>
      </c>
      <c r="C63" s="120" t="s">
        <v>98</v>
      </c>
      <c r="D63" s="138" t="s">
        <v>68</v>
      </c>
      <c r="E63" s="62" t="s">
        <v>129</v>
      </c>
      <c r="F63" s="37" t="str">
        <f>_xlfn.XLOOKUP(Tabla1[[#This Row],[Estado]],Control!$C$32:$C$34,Control!$B$32:$B$34,"")</f>
        <v/>
      </c>
      <c r="G63" s="96"/>
      <c r="H63" s="127"/>
      <c r="I63" s="37" t="s">
        <v>17</v>
      </c>
      <c r="J63" s="37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63" s="37" t="s">
        <v>54</v>
      </c>
      <c r="L63" s="37">
        <v>6</v>
      </c>
      <c r="M63" s="120">
        <v>3</v>
      </c>
      <c r="N63" s="167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27</v>
      </c>
      <c r="O63" s="151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30</v>
      </c>
      <c r="P63" s="151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31</v>
      </c>
      <c r="Q63" s="151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32</v>
      </c>
      <c r="R63" s="151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63" s="83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63" s="167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18</v>
      </c>
      <c r="U63" s="151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63" s="151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63" s="151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63" s="151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63" s="15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63" s="15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63" s="83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63" s="129" t="b">
        <f>ISNUMBER(SEARCH($H$4,Tabla1[[#This Row],[Materia]],1))</f>
        <v>1</v>
      </c>
      <c r="AC63" s="129" t="b">
        <f>IFERROR(IF(
    (COUNTIF(Tabla1[[#This Row],[R1]:[A8]], _xlfn.XLOOKUP($H$4,Tabla1[Materia],Tabla1[Numero],""))) &gt; 0,
    TRUE,
    FALSE
),FALSE)</f>
        <v>0</v>
      </c>
      <c r="AD63" s="161">
        <v>52</v>
      </c>
      <c r="AF63" s="23"/>
    </row>
    <row r="64" spans="1:39" ht="16.5" thickBot="1" x14ac:dyDescent="0.3">
      <c r="A64" s="25"/>
      <c r="B64" s="166" t="s">
        <v>141</v>
      </c>
      <c r="C64" s="120" t="s">
        <v>141</v>
      </c>
      <c r="D64" s="138" t="s">
        <v>68</v>
      </c>
      <c r="E64" s="62" t="s">
        <v>153</v>
      </c>
      <c r="F64" s="37" t="str">
        <f>_xlfn.XLOOKUP(Tabla1[[#This Row],[Estado]],Control!$C$32:$C$34,Control!$B$32:$B$34,"")</f>
        <v/>
      </c>
      <c r="G64" s="96"/>
      <c r="H64" s="127"/>
      <c r="I64" s="37" t="s">
        <v>17</v>
      </c>
      <c r="J64" s="37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64" s="37" t="s">
        <v>54</v>
      </c>
      <c r="L64" s="37">
        <v>4</v>
      </c>
      <c r="M64" s="120">
        <v>2</v>
      </c>
      <c r="N64" s="167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25</v>
      </c>
      <c r="O64" s="151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27</v>
      </c>
      <c r="P64" s="151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64" s="151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64" s="151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64" s="83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64" s="167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10</v>
      </c>
      <c r="U64" s="151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11</v>
      </c>
      <c r="V64" s="151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14</v>
      </c>
      <c r="W64" s="151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15</v>
      </c>
      <c r="X64" s="151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33</v>
      </c>
      <c r="Y64" s="15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64" s="15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64" s="83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64" s="129" t="b">
        <f>ISNUMBER(SEARCH($H$4,Tabla1[[#This Row],[Materia]],1))</f>
        <v>1</v>
      </c>
      <c r="AC64" s="129" t="b">
        <f>IFERROR(IF(
    (COUNTIF(Tabla1[[#This Row],[R1]:[A8]], _xlfn.XLOOKUP($H$4,Tabla1[Materia],Tabla1[Numero],""))) &gt; 0,
    TRUE,
    FALSE
),FALSE)</f>
        <v>0</v>
      </c>
      <c r="AD64" s="161">
        <v>53</v>
      </c>
      <c r="AF64" s="27"/>
    </row>
    <row r="65" spans="2:30" ht="16.5" customHeight="1" thickBot="1" x14ac:dyDescent="0.3">
      <c r="B65" s="166" t="s">
        <v>99</v>
      </c>
      <c r="C65" s="120" t="s">
        <v>99</v>
      </c>
      <c r="D65" s="138" t="s">
        <v>68</v>
      </c>
      <c r="E65" s="62" t="s">
        <v>136</v>
      </c>
      <c r="F65" s="37" t="str">
        <f>_xlfn.XLOOKUP(Tabla1[[#This Row],[Estado]],Control!$C$32:$C$34,Control!$B$32:$B$34,"")</f>
        <v/>
      </c>
      <c r="G65" s="96"/>
      <c r="H65" s="127"/>
      <c r="I65" s="37" t="s">
        <v>16</v>
      </c>
      <c r="J65" s="37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65" s="37" t="s">
        <v>54</v>
      </c>
      <c r="L65" s="37">
        <v>4</v>
      </c>
      <c r="M65" s="120">
        <v>2</v>
      </c>
      <c r="N65" s="167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17</v>
      </c>
      <c r="O65" s="151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18</v>
      </c>
      <c r="P65" s="151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19</v>
      </c>
      <c r="Q65" s="151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30</v>
      </c>
      <c r="R65" s="151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65" s="83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65" s="167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10</v>
      </c>
      <c r="U65" s="151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14</v>
      </c>
      <c r="V65" s="151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65" s="151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65" s="151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65" s="15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65" s="15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65" s="83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65" s="129" t="b">
        <f>ISNUMBER(SEARCH($H$4,Tabla1[[#This Row],[Materia]],1))</f>
        <v>1</v>
      </c>
      <c r="AC65" s="129" t="b">
        <f>IFERROR(IF(
    (COUNTIF(Tabla1[[#This Row],[R1]:[A8]], _xlfn.XLOOKUP($H$4,Tabla1[Materia],Tabla1[Numero],""))) &gt; 0,
    TRUE,
    FALSE
),FALSE)</f>
        <v>0</v>
      </c>
      <c r="AD65" s="161">
        <v>54</v>
      </c>
    </row>
    <row r="66" spans="2:30" ht="16.5" thickBot="1" x14ac:dyDescent="0.3">
      <c r="B66" s="166" t="s">
        <v>142</v>
      </c>
      <c r="C66" s="120" t="s">
        <v>142</v>
      </c>
      <c r="D66" s="138" t="s">
        <v>68</v>
      </c>
      <c r="E66" s="62" t="s">
        <v>133</v>
      </c>
      <c r="F66" s="37" t="str">
        <f>_xlfn.XLOOKUP(Tabla1[[#This Row],[Estado]],Control!$C$32:$C$34,Control!$B$32:$B$34,"")</f>
        <v/>
      </c>
      <c r="G66" s="96"/>
      <c r="H66" s="127"/>
      <c r="I66" s="37" t="s">
        <v>17</v>
      </c>
      <c r="J66" s="37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66" s="37" t="s">
        <v>54</v>
      </c>
      <c r="L66" s="37">
        <v>4</v>
      </c>
      <c r="M66" s="120">
        <v>2</v>
      </c>
      <c r="N66" s="167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31</v>
      </c>
      <c r="O66" s="151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32</v>
      </c>
      <c r="P66" s="151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27</v>
      </c>
      <c r="Q66" s="151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66" s="151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66" s="83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66" s="167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10</v>
      </c>
      <c r="U66" s="151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14</v>
      </c>
      <c r="V66" s="151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17</v>
      </c>
      <c r="W66" s="151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18</v>
      </c>
      <c r="X66" s="151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19</v>
      </c>
      <c r="Y66" s="15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66" s="15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66" s="83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66" s="129" t="b">
        <f>ISNUMBER(SEARCH($H$4,Tabla1[[#This Row],[Materia]],1))</f>
        <v>1</v>
      </c>
      <c r="AC66" s="129" t="b">
        <f>IFERROR(IF(
    (COUNTIF(Tabla1[[#This Row],[R1]:[A8]], _xlfn.XLOOKUP($H$4,Tabla1[Materia],Tabla1[Numero],""))) &gt; 0,
    TRUE,
    FALSE
),FALSE)</f>
        <v>0</v>
      </c>
      <c r="AD66" s="161">
        <v>55</v>
      </c>
    </row>
    <row r="67" spans="2:30" x14ac:dyDescent="0.25">
      <c r="B67" s="225"/>
      <c r="C67" s="225"/>
      <c r="D67" s="225"/>
      <c r="E67" s="225"/>
      <c r="F67" s="225"/>
      <c r="G67" s="225"/>
      <c r="H67" s="225"/>
      <c r="I67" s="225"/>
      <c r="J67" s="225"/>
      <c r="K67" s="225"/>
      <c r="L67" s="225"/>
      <c r="M67" s="225"/>
      <c r="N67" s="225"/>
      <c r="O67" s="225"/>
      <c r="P67" s="225"/>
      <c r="Q67" s="225"/>
      <c r="R67" s="225"/>
      <c r="S67" s="225"/>
      <c r="T67" s="225"/>
      <c r="U67" s="225"/>
      <c r="V67" s="225"/>
      <c r="W67" s="225"/>
      <c r="X67" s="225"/>
      <c r="Y67" s="225"/>
      <c r="Z67" s="225"/>
      <c r="AA67" s="225"/>
    </row>
    <row r="68" spans="2:30" x14ac:dyDescent="0.25"/>
    <row r="69" spans="2:30" x14ac:dyDescent="0.25"/>
    <row r="70" spans="2:30" x14ac:dyDescent="0.25"/>
    <row r="71" spans="2:30" x14ac:dyDescent="0.25"/>
    <row r="72" spans="2:30" x14ac:dyDescent="0.25"/>
    <row r="73" spans="2:30" x14ac:dyDescent="0.25"/>
    <row r="74" spans="2:30" x14ac:dyDescent="0.25"/>
    <row r="75" spans="2:30" x14ac:dyDescent="0.25"/>
    <row r="76" spans="2:30" x14ac:dyDescent="0.25"/>
    <row r="77" spans="2:30" x14ac:dyDescent="0.25">
      <c r="D77" s="19"/>
    </row>
    <row r="78" spans="2:30" x14ac:dyDescent="0.25"/>
    <row r="79" spans="2:30" x14ac:dyDescent="0.25"/>
    <row r="80" spans="2:30" x14ac:dyDescent="0.25"/>
    <row r="81" x14ac:dyDescent="0.25"/>
    <row r="82" x14ac:dyDescent="0.25"/>
    <row r="83" x14ac:dyDescent="0.25"/>
    <row r="84" x14ac:dyDescent="0.25"/>
    <row r="85" x14ac:dyDescent="0.25"/>
    <row r="86" ht="14.25" hidden="1" customHeight="1" x14ac:dyDescent="0.25"/>
    <row r="87" ht="14.25" hidden="1" customHeight="1" x14ac:dyDescent="0.25"/>
    <row r="88" ht="14.25" hidden="1" customHeight="1" x14ac:dyDescent="0.25"/>
    <row r="89" ht="14.25" hidden="1" customHeight="1" x14ac:dyDescent="0.25"/>
    <row r="90" ht="14.25" hidden="1" customHeight="1" x14ac:dyDescent="0.25"/>
    <row r="91" ht="14.25" hidden="1" customHeight="1" x14ac:dyDescent="0.25"/>
    <row r="92" ht="14.25" hidden="1" customHeight="1" x14ac:dyDescent="0.25"/>
    <row r="93" ht="14.25" hidden="1" customHeight="1" x14ac:dyDescent="0.25"/>
    <row r="94" ht="14.25" hidden="1" customHeight="1" x14ac:dyDescent="0.25"/>
    <row r="95" ht="14.25" hidden="1" customHeight="1" x14ac:dyDescent="0.25"/>
    <row r="96" ht="14.25" hidden="1" customHeight="1" x14ac:dyDescent="0.25"/>
    <row r="97" ht="14.25" hidden="1" customHeight="1" x14ac:dyDescent="0.25"/>
    <row r="98" ht="14.25" hidden="1" customHeight="1" x14ac:dyDescent="0.25"/>
    <row r="99" ht="14.25" hidden="1" customHeight="1" x14ac:dyDescent="0.25"/>
    <row r="100" ht="14.25" hidden="1" customHeight="1" x14ac:dyDescent="0.25"/>
    <row r="101" ht="14.25" hidden="1" customHeight="1" x14ac:dyDescent="0.25"/>
    <row r="102" ht="14.25" hidden="1" customHeight="1" x14ac:dyDescent="0.25"/>
    <row r="103" ht="14.25" hidden="1" customHeight="1" x14ac:dyDescent="0.25"/>
    <row r="104" ht="14.25" hidden="1" customHeight="1" x14ac:dyDescent="0.25"/>
    <row r="105" ht="14.25" hidden="1" customHeight="1" x14ac:dyDescent="0.25"/>
    <row r="106" ht="14.25" hidden="1" customHeight="1" x14ac:dyDescent="0.25"/>
    <row r="107" ht="14.25" hidden="1" customHeight="1" x14ac:dyDescent="0.25"/>
  </sheetData>
  <sheetProtection algorithmName="SHA-512" hashValue="HV6IVeSV2q0TF/WgwgMFp/M+wWIk+jtN+eKZnCIX2WeFNP3TQ5HN5zGwruqBmrLHbt9+7vbsYJKU8QEladkZrw==" saltValue="j4RsPequ5Pn9dDm8p3JJ8Q==" spinCount="100000" sheet="1" sort="0" autoFilter="0"/>
  <dataConsolidate/>
  <mergeCells count="12">
    <mergeCell ref="N10:S10"/>
    <mergeCell ref="T10:AA10"/>
    <mergeCell ref="H4:L4"/>
    <mergeCell ref="B2:X2"/>
    <mergeCell ref="N4:P4"/>
    <mergeCell ref="H9:I9"/>
    <mergeCell ref="J8:L8"/>
    <mergeCell ref="H8:I8"/>
    <mergeCell ref="J9:L9"/>
    <mergeCell ref="G7:L7"/>
    <mergeCell ref="Q4:S4"/>
    <mergeCell ref="N9:AA9"/>
  </mergeCells>
  <phoneticPr fontId="8" type="noConversion"/>
  <conditionalFormatting sqref="F12:F66">
    <cfRule type="iconSet" priority="671">
      <iconSet iconSet="3Symbols2" showValue="0">
        <cfvo type="percent" val="0"/>
        <cfvo type="num" val="1"/>
        <cfvo type="num" val="2"/>
      </iconSet>
    </cfRule>
  </conditionalFormatting>
  <conditionalFormatting sqref="N12:S66">
    <cfRule type="expression" dxfId="104" priority="673">
      <formula>OR(_xlfn.XLOOKUP(N12,$B$12:$B$66,$F$12:$F$66)="",_xlfn.XLOOKUP(N12,$B$12:$B$66,$F$12:$F$66)&lt;1)</formula>
    </cfRule>
    <cfRule type="expression" dxfId="103" priority="674">
      <formula>LOOKUP(N12,$B$12:$B$66,$F$12:$F$66)&gt;=1</formula>
    </cfRule>
  </conditionalFormatting>
  <conditionalFormatting sqref="T12:AA66">
    <cfRule type="expression" dxfId="102" priority="677">
      <formula>OR(_xlfn.XLOOKUP(T12,$B$12:$B$66,$F$12:$F$66)="",_xlfn.XLOOKUP(T12,$B$12:$B$66,$F$12:$F$66)&lt;2)</formula>
    </cfRule>
    <cfRule type="expression" dxfId="101" priority="678">
      <formula>LOOKUP(T12,$B$12:$B$66,$F$12:$F$66)=2</formula>
    </cfRule>
  </conditionalFormatting>
  <dataValidations count="11">
    <dataValidation allowBlank="1" showInputMessage="1" showErrorMessage="1" promptTitle="Identificador de paso de proceso" prompt="Escriba un id. de paso de proceso único para cada forma en el diagrama." sqref="BH8" xr:uid="{4CDC4957-6C31-4064-98D7-982762A74921}"/>
    <dataValidation allowBlank="1" showInputMessage="1" showErrorMessage="1" promptTitle="Descripción del paso de proceso" prompt="Escriba el texto para el paso del proceso que aparecerá en la forma." sqref="BI8" xr:uid="{F2C8DE6E-0581-497C-B5F5-D6B83C4704F0}"/>
    <dataValidation allowBlank="1" showInputMessage="1" showErrorMessage="1" promptTitle="Identificador de paso siguiente" prompt="Escriba el id. de paso del proceso para el siguiente paso. Use comas para separar varios pasos siguientes, como &quot;P600, P700&quot;." sqref="BJ8" xr:uid="{37A7D950-9C8E-4C54-8942-DBF6A9C16CD4}"/>
    <dataValidation allowBlank="1" showInputMessage="1" showErrorMessage="1" promptTitle="Etiqueta de conector" prompt="Si quiere, etiquete el conector al siguiente paso. Use comas para separar varios pasos siguientes, como &quot;Sí,No&quot;." sqref="BK8" xr:uid="{33612C46-F1C7-4434-8241-778AB2676A20}"/>
    <dataValidation allowBlank="1" showInputMessage="1" showErrorMessage="1" promptTitle="Tipo de forma" prompt="Escriba el tipo de forma que quiere que use cada paso del proceso." sqref="BL8" xr:uid="{5E067FFE-B484-47EF-AE9D-69C8AC3DD90A}"/>
    <dataValidation allowBlank="1" showInputMessage="1" showErrorMessage="1" promptTitle="Texto alternativo" prompt="El texto alternativo ayuda a las personas con discapacidad visual a comprender el diagrama. Describa cada paso del proceso." sqref="BM8" xr:uid="{191F22DE-065C-4868-AACA-0A22B40E6101}"/>
    <dataValidation showInputMessage="1" sqref="H4:L4" xr:uid="{0B649C6A-C95B-4C86-A93B-6D5F9D856CD0}"/>
    <dataValidation type="whole" allowBlank="1" showInputMessage="1" showErrorMessage="1" sqref="M12:M66" xr:uid="{E9B0B4FB-B73B-4CB8-BF41-0004A1370D40}">
      <formula1>1</formula1>
      <formula2>100</formula2>
    </dataValidation>
    <dataValidation type="list" allowBlank="1" showInputMessage="1" showErrorMessage="1" sqref="I12:I66" xr:uid="{F10643AC-3B76-41B4-845C-58D937C62153}">
      <formula1>Modalidades</formula1>
    </dataValidation>
    <dataValidation type="whole" allowBlank="1" showInputMessage="1" showErrorMessage="1" sqref="H12:H66" xr:uid="{827AE982-E557-487E-BEA0-3F118EE1CC68}">
      <formula1>1</formula1>
      <formula2>10</formula2>
    </dataValidation>
    <dataValidation type="list" allowBlank="1" showInputMessage="1" sqref="BL9:BL10 BO11:BO12" xr:uid="{99135C8E-24D4-4BA3-BCA3-D892194DBB02}">
      <formula1>"Proceso, Decisión, Subproceso, Iniciar, Fin, Documento, Datos, Base de datos, Datos externos, Referencia en página, Referencia a otra página, Personalizado 1, Personalizado 2, Personalizado 3, Personalizado 4"</formula1>
    </dataValidation>
  </dataValidations>
  <pageMargins left="0.7" right="0.7" top="0.75" bottom="0.75" header="0.3" footer="0.3"/>
  <pageSetup paperSize="9" scale="29" fitToWidth="0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1876" r:id="rId4" name="TextBox1">
          <controlPr locked="0" defaultSize="0" autoLine="0" r:id="rId5">
            <anchor>
              <from>
                <xdr:col>7</xdr:col>
                <xdr:colOff>0</xdr:colOff>
                <xdr:row>2</xdr:row>
                <xdr:rowOff>180975</xdr:rowOff>
              </from>
              <to>
                <xdr:col>12</xdr:col>
                <xdr:colOff>142875</xdr:colOff>
                <xdr:row>4</xdr:row>
                <xdr:rowOff>0</xdr:rowOff>
              </to>
            </anchor>
          </controlPr>
        </control>
      </mc:Choice>
      <mc:Fallback>
        <control shapeId="1876" r:id="rId4" name="TextBox1"/>
      </mc:Fallback>
    </mc:AlternateContent>
    <mc:AlternateContent xmlns:mc="http://schemas.openxmlformats.org/markup-compatibility/2006">
      <mc:Choice Requires="x14">
        <control shapeId="1731" r:id="rId6" name="ComboBox1">
          <controlPr defaultSize="0" autoFill="0" autoLine="0" r:id="rId7">
            <anchor>
              <from>
                <xdr:col>12</xdr:col>
                <xdr:colOff>142875</xdr:colOff>
                <xdr:row>2</xdr:row>
                <xdr:rowOff>180975</xdr:rowOff>
              </from>
              <to>
                <xdr:col>12</xdr:col>
                <xdr:colOff>276225</xdr:colOff>
                <xdr:row>4</xdr:row>
                <xdr:rowOff>0</xdr:rowOff>
              </to>
            </anchor>
          </controlPr>
        </control>
      </mc:Choice>
      <mc:Fallback>
        <control shapeId="1731" r:id="rId6" name="ComboBox1"/>
      </mc:Fallback>
    </mc:AlternateContent>
    <mc:AlternateContent xmlns:mc="http://schemas.openxmlformats.org/markup-compatibility/2006">
      <mc:Choice Requires="x14">
        <control shapeId="3269" r:id="rId8" name="CommandButton1">
          <controlPr defaultSize="0" autoFill="0" autoLine="0" r:id="rId9">
            <anchor moveWithCells="1">
              <from>
                <xdr:col>4</xdr:col>
                <xdr:colOff>4238625</xdr:colOff>
                <xdr:row>10</xdr:row>
                <xdr:rowOff>66675</xdr:rowOff>
              </from>
              <to>
                <xdr:col>4</xdr:col>
                <xdr:colOff>4524375</xdr:colOff>
                <xdr:row>10</xdr:row>
                <xdr:rowOff>352425</xdr:rowOff>
              </to>
            </anchor>
          </controlPr>
        </control>
      </mc:Choice>
      <mc:Fallback>
        <control shapeId="3269" r:id="rId8" name="CommandButton1"/>
      </mc:Fallback>
    </mc:AlternateContent>
  </controls>
  <tableParts count="1">
    <tablePart r:id="rId10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55" id="{00000000-000E-0000-0000-0000B9000000}">
            <xm:f>AND(Control!$N$2,OR($F12="",$F12&lt;=1))</xm:f>
            <x14:dxf>
              <font>
                <color theme="0"/>
              </font>
              <fill>
                <patternFill>
                  <bgColor rgb="FF8FA2FF"/>
                </patternFill>
              </fill>
            </x14:dxf>
          </x14:cfRule>
          <xm:sqref>B12:AA36</xm:sqref>
        </x14:conditionalFormatting>
        <x14:conditionalFormatting xmlns:xm="http://schemas.microsoft.com/office/excel/2006/main">
          <x14:cfRule type="expression" priority="449" id="{00000000-000E-0000-0000-000002000000}">
            <xm:f>AND(Control!$N$3,OR($F12="",$F12&lt;=1))</xm:f>
            <x14:dxf>
              <font>
                <color theme="0"/>
              </font>
              <fill>
                <patternFill>
                  <bgColor rgb="FFE05656"/>
                </patternFill>
              </fill>
            </x14:dxf>
          </x14:cfRule>
          <xm:sqref>B12:AA54</xm:sqref>
        </x14:conditionalFormatting>
        <x14:conditionalFormatting xmlns:xm="http://schemas.microsoft.com/office/excel/2006/main">
          <x14:cfRule type="expression" priority="668" id="{00000000-000E-0000-0000-0000BC000000}">
            <xm:f>OR( $N12=Control!$N$7, $O12=Control!$N$7, $P12=Control!$N$7, $Q12=Control!$N$7, $R12=Control!$N$7, $S12=Control!$N$7, $T12=Control!$N$7, $U12=Control!$N$7, $V12=Control!$N$7, $W12=Control!$N$7, $X12=Control!$N$7, $Y12=Control!$N$7, $Z12=Control!$N$7, $AA12=Control!$N$7 )</xm:f>
            <x14:dxf>
              <font>
                <color theme="0"/>
              </font>
              <fill>
                <patternFill>
                  <bgColor rgb="FFAF6CF8"/>
                </patternFill>
              </fill>
            </x14:dxf>
          </x14:cfRule>
          <x14:cfRule type="expression" priority="669" id="{00000000-000E-0000-0000-0000BD000000}">
            <xm:f>$B12=Control!$N$6</xm:f>
            <x14:dxf>
              <font>
                <color theme="0"/>
              </font>
              <fill>
                <patternFill>
                  <bgColor theme="1" tint="0.24994659260841701"/>
                </patternFill>
              </fill>
            </x14:dxf>
          </x14:cfRule>
          <x14:cfRule type="expression" priority="670" id="{00000000-000E-0000-0000-0000BE000000}">
            <xm:f>AND(Control!$N$4,$J12="SI")</xm:f>
            <x14:dxf>
              <font>
                <color theme="0"/>
              </font>
              <fill>
                <patternFill>
                  <bgColor rgb="FFED7F3B"/>
                </patternFill>
              </fill>
            </x14:dxf>
          </x14:cfRule>
          <xm:sqref>B12:AD66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2879620-7BBF-402C-9137-DEC9E925EF8B}">
          <x14:formula1>
            <xm:f>Control!$C$31:$C$34</xm:f>
          </x14:formula1>
          <xm:sqref>G12:G13 G15:G61</xm:sqref>
        </x14:dataValidation>
        <x14:dataValidation type="list" errorStyle="warning" allowBlank="1" showInputMessage="1" showErrorMessage="1" xr:uid="{3BEFB480-2732-4497-8F02-A6B25C0A7987}">
          <x14:formula1>
            <xm:f>Control!$C$31:$C$34</xm:f>
          </x14:formula1>
          <xm:sqref>G14</xm:sqref>
        </x14:dataValidation>
        <x14:dataValidation type="list" allowBlank="1" showInputMessage="1" showErrorMessage="1" xr:uid="{D0419513-DDB3-4558-874E-668A51261BE3}">
          <x14:formula1>
            <xm:f>Control!$P$3:$P$4</xm:f>
          </x14:formula1>
          <xm:sqref>J9:L9 H5 K12:K66</xm:sqref>
        </x14:dataValidation>
        <x14:dataValidation type="list" allowBlank="1" showInputMessage="1" showErrorMessage="1" xr:uid="{F6AE0DD1-DD61-44DA-9457-1A6EFA98F676}">
          <x14:formula1>
            <xm:f>Control!$G$42:$G$43</xm:f>
          </x14:formula1>
          <xm:sqref>Q4</xm:sqref>
        </x14:dataValidation>
        <x14:dataValidation type="list" allowBlank="1" showInputMessage="1" showErrorMessage="1" xr:uid="{7E83949C-A2E5-4647-BD93-0E45A69C23B2}">
          <x14:formula1>
            <xm:f>Control!$E$42:$E$46</xm:f>
          </x14:formula1>
          <xm:sqref>D12:D66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11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BC106-4D4E-4A12-818E-989BD6E97739}">
  <sheetPr codeName="Hoja2"/>
  <dimension ref="B1:AQ312"/>
  <sheetViews>
    <sheetView showGridLines="0" showOutlineSymbols="0" workbookViewId="0">
      <selection activeCell="R37" sqref="R37"/>
    </sheetView>
  </sheetViews>
  <sheetFormatPr baseColWidth="10" defaultRowHeight="15" x14ac:dyDescent="0.25"/>
  <cols>
    <col min="1" max="1" width="1.42578125" customWidth="1"/>
    <col min="2" max="2" width="3.7109375" customWidth="1"/>
    <col min="3" max="3" width="13.7109375" customWidth="1"/>
    <col min="4" max="4" width="4.28515625" customWidth="1"/>
    <col min="5" max="5" width="7.28515625" customWidth="1"/>
    <col min="6" max="6" width="4.7109375" customWidth="1"/>
    <col min="7" max="7" width="3.7109375" customWidth="1"/>
    <col min="8" max="8" width="13.7109375" customWidth="1"/>
    <col min="9" max="9" width="4.28515625" customWidth="1"/>
    <col min="10" max="10" width="7.28515625" customWidth="1"/>
    <col min="11" max="11" width="1.7109375" customWidth="1"/>
    <col min="12" max="12" width="11.140625" bestFit="1" customWidth="1"/>
    <col min="13" max="13" width="10" customWidth="1"/>
    <col min="14" max="24" width="5.140625" style="168" customWidth="1"/>
    <col min="25" max="25" width="5.140625" style="171" customWidth="1"/>
    <col min="26" max="27" width="5.140625" style="168" customWidth="1"/>
    <col min="28" max="28" width="9.5703125" customWidth="1"/>
    <col min="29" max="29" width="8" customWidth="1"/>
    <col min="30" max="30" width="5.42578125" bestFit="1" customWidth="1"/>
    <col min="31" max="44" width="5.42578125" customWidth="1"/>
    <col min="45" max="46" width="6.85546875" customWidth="1"/>
    <col min="47" max="47" width="11.85546875" bestFit="1" customWidth="1"/>
  </cols>
  <sheetData>
    <row r="1" spans="2:27" ht="8.25" customHeight="1" x14ac:dyDescent="0.25"/>
    <row r="2" spans="2:27" ht="14.1" customHeight="1" x14ac:dyDescent="0.25">
      <c r="B2" s="257" t="s">
        <v>47</v>
      </c>
      <c r="C2" s="257"/>
      <c r="D2" s="257"/>
      <c r="E2" s="257"/>
      <c r="G2" s="263" t="s">
        <v>34</v>
      </c>
      <c r="H2" s="263"/>
      <c r="I2" s="263"/>
      <c r="J2" s="263"/>
      <c r="M2" s="149" t="s">
        <v>31</v>
      </c>
      <c r="N2" s="172" t="b">
        <v>0</v>
      </c>
      <c r="P2" s="173" t="s">
        <v>57</v>
      </c>
    </row>
    <row r="3" spans="2:27" ht="14.1" customHeight="1" x14ac:dyDescent="0.25">
      <c r="B3" s="257"/>
      <c r="C3" s="257"/>
      <c r="D3" s="257"/>
      <c r="E3" s="257"/>
      <c r="G3" s="263"/>
      <c r="H3" s="263"/>
      <c r="I3" s="263"/>
      <c r="J3" s="263"/>
      <c r="M3" s="149" t="s">
        <v>32</v>
      </c>
      <c r="N3" s="172" t="b">
        <v>0</v>
      </c>
      <c r="P3" s="35" t="s">
        <v>53</v>
      </c>
    </row>
    <row r="4" spans="2:27" ht="14.1" customHeight="1" x14ac:dyDescent="0.25">
      <c r="B4" s="257"/>
      <c r="C4" s="257"/>
      <c r="D4" s="257"/>
      <c r="E4" s="257"/>
      <c r="G4" s="263"/>
      <c r="H4" s="263"/>
      <c r="I4" s="263"/>
      <c r="J4" s="263"/>
      <c r="M4" s="149" t="s">
        <v>33</v>
      </c>
      <c r="N4" s="172" t="b">
        <v>0</v>
      </c>
      <c r="P4" s="35" t="s">
        <v>54</v>
      </c>
    </row>
    <row r="5" spans="2:27" ht="6" customHeight="1" thickBot="1" x14ac:dyDescent="0.3">
      <c r="M5" s="149"/>
      <c r="N5" s="174"/>
    </row>
    <row r="6" spans="2:27" ht="15.95" customHeight="1" thickBot="1" x14ac:dyDescent="0.3">
      <c r="B6" s="73"/>
      <c r="C6" s="30" t="s">
        <v>46</v>
      </c>
      <c r="D6" s="30">
        <f>COUNTA(Tabla1[Numero])</f>
        <v>55</v>
      </c>
      <c r="E6" s="31">
        <v>1</v>
      </c>
      <c r="G6" s="252" t="s">
        <v>143</v>
      </c>
      <c r="H6" s="253"/>
      <c r="I6" s="266">
        <f>SUMIFS(Tabla1[Puntos], Tabla1[Electiva],"SI", Tabla1[Icono],"=2")</f>
        <v>0</v>
      </c>
      <c r="J6" s="267"/>
      <c r="M6" s="149" t="s">
        <v>70</v>
      </c>
      <c r="N6" s="175">
        <v>0</v>
      </c>
    </row>
    <row r="7" spans="2:27" s="73" customFormat="1" ht="15" customHeight="1" thickBot="1" x14ac:dyDescent="0.3">
      <c r="B7" s="75">
        <v>0</v>
      </c>
      <c r="C7" s="76" t="s">
        <v>52</v>
      </c>
      <c r="D7" s="76">
        <f>D6-(D8+D9)</f>
        <v>55</v>
      </c>
      <c r="E7" s="77">
        <f>D7/$D$6</f>
        <v>1</v>
      </c>
      <c r="G7" s="282"/>
      <c r="H7" s="283"/>
      <c r="I7" s="280"/>
      <c r="J7" s="281"/>
      <c r="M7" s="149" t="s">
        <v>69</v>
      </c>
      <c r="N7" s="174">
        <v>0</v>
      </c>
      <c r="O7" s="43"/>
      <c r="P7" s="43"/>
      <c r="Q7" s="43"/>
      <c r="R7" s="43"/>
      <c r="S7" s="43"/>
      <c r="T7" s="43"/>
      <c r="U7" s="43"/>
      <c r="V7" s="43"/>
      <c r="W7" s="43"/>
      <c r="X7" s="43"/>
      <c r="Y7" s="176"/>
      <c r="Z7" s="43"/>
      <c r="AA7" s="43"/>
    </row>
    <row r="8" spans="2:27" s="73" customFormat="1" ht="15" customHeight="1" thickBot="1" x14ac:dyDescent="0.3">
      <c r="B8" s="75">
        <v>1</v>
      </c>
      <c r="C8" s="76" t="s">
        <v>14</v>
      </c>
      <c r="D8" s="76">
        <f>COUNTIF(Tabla1[Icono],1)</f>
        <v>0</v>
      </c>
      <c r="E8" s="77">
        <f>D8/$D$6</f>
        <v>0</v>
      </c>
      <c r="G8" s="282"/>
      <c r="H8" s="283"/>
      <c r="I8" s="280"/>
      <c r="J8" s="281"/>
      <c r="M8" s="150" t="s">
        <v>51</v>
      </c>
      <c r="N8" s="174" t="b">
        <f>FALSE</f>
        <v>0</v>
      </c>
      <c r="O8" s="43"/>
      <c r="P8" s="43"/>
      <c r="Q8" s="43"/>
      <c r="R8" s="43"/>
      <c r="S8" s="43"/>
      <c r="T8" s="43"/>
      <c r="U8" s="43"/>
      <c r="V8" s="43"/>
      <c r="W8" s="43"/>
      <c r="X8" s="43"/>
      <c r="Y8" s="176"/>
      <c r="Z8" s="43"/>
      <c r="AA8" s="43"/>
    </row>
    <row r="9" spans="2:27" s="73" customFormat="1" ht="15" customHeight="1" thickBot="1" x14ac:dyDescent="0.3">
      <c r="B9" s="75">
        <v>2</v>
      </c>
      <c r="C9" s="76" t="s">
        <v>13</v>
      </c>
      <c r="D9" s="76">
        <f>COUNTIF(Tabla1[Icono],2)</f>
        <v>0</v>
      </c>
      <c r="E9" s="77">
        <f>D9/$D$6</f>
        <v>0</v>
      </c>
      <c r="G9" s="284"/>
      <c r="H9" s="285"/>
      <c r="I9" s="264"/>
      <c r="J9" s="265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176"/>
      <c r="Z9" s="43"/>
      <c r="AA9" s="43"/>
    </row>
    <row r="10" spans="2:27" ht="6.95" customHeight="1" x14ac:dyDescent="0.25"/>
    <row r="11" spans="2:27" ht="14.1" customHeight="1" x14ac:dyDescent="0.25">
      <c r="B11" s="256" t="s">
        <v>83</v>
      </c>
      <c r="C11" s="256"/>
      <c r="D11" s="256"/>
      <c r="E11" s="256"/>
      <c r="G11" s="261" t="s">
        <v>44</v>
      </c>
      <c r="H11" s="261"/>
      <c r="I11" s="261"/>
      <c r="J11" s="261"/>
    </row>
    <row r="12" spans="2:27" ht="14.1" customHeight="1" x14ac:dyDescent="0.25">
      <c r="B12" s="256"/>
      <c r="C12" s="256"/>
      <c r="D12" s="256"/>
      <c r="E12" s="256"/>
      <c r="G12" s="261"/>
      <c r="H12" s="261"/>
      <c r="I12" s="261"/>
      <c r="J12" s="261"/>
    </row>
    <row r="13" spans="2:27" ht="14.1" customHeight="1" x14ac:dyDescent="0.25">
      <c r="B13" s="256"/>
      <c r="C13" s="256"/>
      <c r="D13" s="256"/>
      <c r="E13" s="256"/>
      <c r="G13" s="261"/>
      <c r="H13" s="261"/>
      <c r="I13" s="261"/>
      <c r="J13" s="261"/>
    </row>
    <row r="14" spans="2:27" ht="6.95" customHeight="1" x14ac:dyDescent="0.25">
      <c r="B14" s="8"/>
      <c r="C14" s="8"/>
      <c r="D14" s="8"/>
      <c r="E14" s="8"/>
    </row>
    <row r="15" spans="2:27" ht="12" customHeight="1" x14ac:dyDescent="0.25">
      <c r="D15" s="259">
        <f>COUNTIF('Plan de Estudio'!F12:F36,"&lt;&gt;2")</f>
        <v>25</v>
      </c>
      <c r="E15" s="259"/>
      <c r="I15" s="258">
        <f>COUNTIFS(Tabla1[Electiva],"NO",Tabla1[Icono],"&lt;&gt;2")</f>
        <v>43</v>
      </c>
      <c r="J15" s="258"/>
    </row>
    <row r="16" spans="2:27" ht="12" customHeight="1" x14ac:dyDescent="0.25">
      <c r="D16" s="259"/>
      <c r="E16" s="259"/>
      <c r="I16" s="258"/>
      <c r="J16" s="258"/>
      <c r="M16" s="55"/>
    </row>
    <row r="17" spans="2:27" ht="6.95" customHeight="1" x14ac:dyDescent="0.25">
      <c r="M17" s="55"/>
    </row>
    <row r="18" spans="2:27" s="29" customFormat="1" ht="15.95" customHeight="1" x14ac:dyDescent="0.25">
      <c r="C18" s="30" t="s">
        <v>46</v>
      </c>
      <c r="D18" s="30">
        <f>COUNTA('Plan de Estudio'!$B$12:$B$36)</f>
        <v>25</v>
      </c>
      <c r="E18" s="31">
        <v>1</v>
      </c>
      <c r="H18" s="30" t="s">
        <v>46</v>
      </c>
      <c r="I18" s="32">
        <f>COUNTIF(Tabla1[Electiva],"NO")</f>
        <v>43</v>
      </c>
      <c r="J18" s="31">
        <v>1</v>
      </c>
      <c r="M18" s="55"/>
      <c r="N18" s="177"/>
      <c r="O18" s="177"/>
      <c r="P18" s="177"/>
      <c r="Q18" s="177"/>
      <c r="R18" s="177"/>
      <c r="S18" s="177"/>
      <c r="T18" s="177"/>
      <c r="U18" s="177"/>
      <c r="V18" s="177"/>
      <c r="W18" s="177"/>
      <c r="X18" s="177"/>
      <c r="Y18" s="177"/>
      <c r="Z18" s="177"/>
      <c r="AA18" s="177"/>
    </row>
    <row r="19" spans="2:27" s="73" customFormat="1" ht="15" customHeight="1" x14ac:dyDescent="0.25">
      <c r="B19" s="75">
        <v>0</v>
      </c>
      <c r="C19" s="76" t="s">
        <v>52</v>
      </c>
      <c r="D19" s="76">
        <f>D18-(D21+D20)</f>
        <v>25</v>
      </c>
      <c r="E19" s="77">
        <f>D19/D18</f>
        <v>1</v>
      </c>
      <c r="G19" s="71">
        <v>0</v>
      </c>
      <c r="H19" s="76" t="s">
        <v>52</v>
      </c>
      <c r="I19" s="28">
        <f>I18-(I20+I21)</f>
        <v>43</v>
      </c>
      <c r="J19" s="77">
        <f>I19/$I$18</f>
        <v>1</v>
      </c>
      <c r="M19" s="89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176"/>
      <c r="Z19" s="43"/>
      <c r="AA19" s="43"/>
    </row>
    <row r="20" spans="2:27" s="73" customFormat="1" ht="15" customHeight="1" x14ac:dyDescent="0.25">
      <c r="B20" s="75">
        <v>1</v>
      </c>
      <c r="C20" s="76" t="s">
        <v>14</v>
      </c>
      <c r="D20" s="76">
        <f>COUNTIF('Plan de Estudio'!F12:F36,1)</f>
        <v>0</v>
      </c>
      <c r="E20" s="77">
        <f>D20/$D$18</f>
        <v>0</v>
      </c>
      <c r="G20" s="71">
        <v>1</v>
      </c>
      <c r="H20" s="76" t="s">
        <v>14</v>
      </c>
      <c r="I20" s="28">
        <f>COUNTIFS(Tabla1[Electiva],"NO",Tabla1[Icono],1)</f>
        <v>0</v>
      </c>
      <c r="J20" s="77">
        <f>I20/$I$18</f>
        <v>0</v>
      </c>
      <c r="M20" s="89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176"/>
      <c r="Z20" s="43"/>
      <c r="AA20" s="43"/>
    </row>
    <row r="21" spans="2:27" s="73" customFormat="1" ht="15" customHeight="1" x14ac:dyDescent="0.25">
      <c r="B21" s="75">
        <v>2</v>
      </c>
      <c r="C21" s="76" t="s">
        <v>13</v>
      </c>
      <c r="D21" s="76">
        <f>COUNTIF('Plan de Estudio'!$F$12:$F$36,2)</f>
        <v>0</v>
      </c>
      <c r="E21" s="77">
        <f>D21/$D$18</f>
        <v>0</v>
      </c>
      <c r="G21" s="71">
        <v>2</v>
      </c>
      <c r="H21" s="76" t="s">
        <v>13</v>
      </c>
      <c r="I21" s="28">
        <f>COUNTIFS(Tabla1[Electiva],"NO",Tabla1[Icono],2)</f>
        <v>0</v>
      </c>
      <c r="J21" s="77">
        <f>I21/$I$18</f>
        <v>0</v>
      </c>
      <c r="M21" s="89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176"/>
      <c r="Z21" s="43"/>
      <c r="AA21" s="43"/>
    </row>
    <row r="22" spans="2:27" ht="6.95" customHeight="1" thickBot="1" x14ac:dyDescent="0.3">
      <c r="M22" s="55"/>
    </row>
    <row r="23" spans="2:27" ht="14.1" customHeight="1" x14ac:dyDescent="0.25">
      <c r="B23" s="262" t="s">
        <v>45</v>
      </c>
      <c r="C23" s="262"/>
      <c r="D23" s="262"/>
      <c r="E23" s="262"/>
      <c r="G23" s="268" t="s">
        <v>28</v>
      </c>
      <c r="H23" s="269"/>
      <c r="I23" s="274">
        <f>IF(ISNUMBER(AVERAGE(Tabla1[Nota])), AVERAGE(Tabla1[Nota]), 0)</f>
        <v>0</v>
      </c>
      <c r="J23" s="275"/>
      <c r="M23" s="55"/>
    </row>
    <row r="24" spans="2:27" ht="14.1" customHeight="1" x14ac:dyDescent="0.25">
      <c r="B24" s="262"/>
      <c r="C24" s="262"/>
      <c r="D24" s="262"/>
      <c r="E24" s="262"/>
      <c r="G24" s="270"/>
      <c r="H24" s="271"/>
      <c r="I24" s="276"/>
      <c r="J24" s="277"/>
      <c r="M24" s="55"/>
    </row>
    <row r="25" spans="2:27" ht="14.1" customHeight="1" thickBot="1" x14ac:dyDescent="0.3">
      <c r="B25" s="262"/>
      <c r="C25" s="262"/>
      <c r="D25" s="262"/>
      <c r="E25" s="262"/>
      <c r="G25" s="272"/>
      <c r="H25" s="273"/>
      <c r="I25" s="278"/>
      <c r="J25" s="279"/>
      <c r="M25" s="55"/>
    </row>
    <row r="26" spans="2:27" ht="6.95" customHeight="1" x14ac:dyDescent="0.25">
      <c r="M26" s="55"/>
    </row>
    <row r="27" spans="2:27" ht="12" customHeight="1" x14ac:dyDescent="0.25">
      <c r="D27" s="260">
        <f>COUNTIF(Tabla1[Cursar],"SI")</f>
        <v>9</v>
      </c>
      <c r="E27" s="260"/>
      <c r="M27" s="55"/>
    </row>
    <row r="28" spans="2:27" ht="12" customHeight="1" x14ac:dyDescent="0.35">
      <c r="D28" s="260"/>
      <c r="E28" s="260"/>
      <c r="F28" s="12"/>
      <c r="M28" s="55"/>
    </row>
    <row r="29" spans="2:27" ht="15" customHeight="1" thickBot="1" x14ac:dyDescent="0.3">
      <c r="F29" s="9"/>
      <c r="M29" s="55"/>
      <c r="Y29" s="168"/>
    </row>
    <row r="30" spans="2:27" ht="19.5" thickBot="1" x14ac:dyDescent="0.3">
      <c r="B30" s="254" t="s">
        <v>7</v>
      </c>
      <c r="C30" s="255"/>
      <c r="D30" s="7"/>
      <c r="E30" s="7"/>
      <c r="F30" s="7"/>
      <c r="G30" s="7"/>
      <c r="H30" s="56"/>
      <c r="M30" s="55"/>
      <c r="Y30" s="168"/>
    </row>
    <row r="31" spans="2:27" ht="15.75" x14ac:dyDescent="0.25">
      <c r="B31" s="2"/>
      <c r="C31" s="19"/>
      <c r="D31" s="19"/>
      <c r="E31" s="33" t="s">
        <v>6</v>
      </c>
      <c r="F31" s="19" t="s">
        <v>10</v>
      </c>
      <c r="G31" s="19"/>
      <c r="H31" s="3"/>
      <c r="M31" s="55"/>
      <c r="Y31" s="168"/>
    </row>
    <row r="32" spans="2:27" ht="15.75" x14ac:dyDescent="0.25">
      <c r="B32" s="36">
        <v>0</v>
      </c>
      <c r="C32" s="35" t="s">
        <v>80</v>
      </c>
      <c r="D32" s="19"/>
      <c r="E32" s="33" t="s">
        <v>16</v>
      </c>
      <c r="F32" s="19" t="s">
        <v>11</v>
      </c>
      <c r="G32" s="19"/>
      <c r="H32" s="3"/>
      <c r="I32" s="19"/>
      <c r="M32" s="55"/>
      <c r="Y32" s="168"/>
    </row>
    <row r="33" spans="2:25" ht="15.75" x14ac:dyDescent="0.25">
      <c r="B33" s="36">
        <v>1</v>
      </c>
      <c r="C33" s="35" t="s">
        <v>4</v>
      </c>
      <c r="D33" s="19"/>
      <c r="E33" s="33" t="s">
        <v>17</v>
      </c>
      <c r="F33" s="19" t="s">
        <v>12</v>
      </c>
      <c r="G33" s="19"/>
      <c r="H33" s="3"/>
      <c r="I33" s="19"/>
      <c r="M33" s="55"/>
      <c r="Y33" s="168"/>
    </row>
    <row r="34" spans="2:25" ht="15.75" x14ac:dyDescent="0.25">
      <c r="B34" s="36">
        <v>2</v>
      </c>
      <c r="C34" s="35" t="s">
        <v>15</v>
      </c>
      <c r="D34" s="19"/>
      <c r="E34" s="33" t="s">
        <v>8</v>
      </c>
      <c r="F34" s="19" t="s">
        <v>9</v>
      </c>
      <c r="G34" s="19"/>
      <c r="H34" s="3"/>
      <c r="I34" s="19"/>
      <c r="M34" s="55"/>
      <c r="X34" s="171"/>
      <c r="Y34" s="168"/>
    </row>
    <row r="35" spans="2:25" ht="15.75" thickBot="1" x14ac:dyDescent="0.3">
      <c r="B35" s="34"/>
      <c r="C35" s="4"/>
      <c r="D35" s="4"/>
      <c r="E35" s="4"/>
      <c r="F35" s="4"/>
      <c r="G35" s="4"/>
      <c r="H35" s="5"/>
      <c r="I35" s="19"/>
      <c r="M35" s="55"/>
      <c r="X35" s="171"/>
      <c r="Y35" s="168"/>
    </row>
    <row r="36" spans="2:25" ht="6.95" customHeight="1" x14ac:dyDescent="0.25">
      <c r="I36" s="19"/>
      <c r="M36" s="55"/>
      <c r="X36" s="171"/>
      <c r="Y36" s="168"/>
    </row>
    <row r="37" spans="2:25" ht="15" customHeight="1" x14ac:dyDescent="0.25">
      <c r="I37" s="19"/>
      <c r="M37" s="55"/>
      <c r="X37" s="171"/>
      <c r="Y37" s="168"/>
    </row>
    <row r="38" spans="2:25" ht="15" customHeight="1" x14ac:dyDescent="0.25">
      <c r="B38" s="19"/>
      <c r="C38" s="19"/>
      <c r="D38" s="19"/>
      <c r="E38" s="19"/>
      <c r="F38" s="19"/>
      <c r="G38" s="19"/>
      <c r="H38" s="19"/>
      <c r="I38" s="19"/>
      <c r="M38" s="55"/>
      <c r="X38" s="171"/>
      <c r="Y38" s="168"/>
    </row>
    <row r="39" spans="2:25" x14ac:dyDescent="0.25">
      <c r="M39" s="55"/>
      <c r="X39" s="171"/>
      <c r="Y39" s="168"/>
    </row>
    <row r="40" spans="2:25" x14ac:dyDescent="0.25">
      <c r="M40" s="55"/>
      <c r="X40" s="171"/>
      <c r="Y40" s="168"/>
    </row>
    <row r="41" spans="2:25" x14ac:dyDescent="0.25">
      <c r="B41" s="10"/>
      <c r="C41" t="s">
        <v>21</v>
      </c>
      <c r="E41" s="6" t="s">
        <v>49</v>
      </c>
      <c r="G41" s="48" t="s">
        <v>75</v>
      </c>
      <c r="M41" s="55"/>
      <c r="X41" s="171"/>
      <c r="Y41" s="168"/>
    </row>
    <row r="42" spans="2:25" ht="15.75" x14ac:dyDescent="0.25">
      <c r="C42" s="1" t="s">
        <v>6</v>
      </c>
      <c r="E42" s="43" t="s">
        <v>64</v>
      </c>
      <c r="G42" s="48" t="s">
        <v>76</v>
      </c>
      <c r="M42" s="55"/>
      <c r="X42" s="171"/>
      <c r="Y42" s="168"/>
    </row>
    <row r="43" spans="2:25" ht="15.75" x14ac:dyDescent="0.25">
      <c r="C43" s="1" t="s">
        <v>16</v>
      </c>
      <c r="E43" s="43" t="s">
        <v>65</v>
      </c>
      <c r="G43" s="48" t="s">
        <v>77</v>
      </c>
      <c r="M43" s="55"/>
      <c r="X43" s="171"/>
      <c r="Y43" s="168"/>
    </row>
    <row r="44" spans="2:25" ht="15.75" x14ac:dyDescent="0.25">
      <c r="C44" s="1" t="s">
        <v>17</v>
      </c>
      <c r="E44" s="43" t="s">
        <v>66</v>
      </c>
      <c r="M44" s="55"/>
      <c r="X44" s="171"/>
      <c r="Y44" s="168"/>
    </row>
    <row r="45" spans="2:25" ht="15.75" x14ac:dyDescent="0.25">
      <c r="C45" s="1" t="s">
        <v>8</v>
      </c>
      <c r="E45" s="43" t="s">
        <v>67</v>
      </c>
      <c r="M45" s="55"/>
      <c r="X45" s="171"/>
      <c r="Y45" s="168"/>
    </row>
    <row r="46" spans="2:25" ht="15.75" x14ac:dyDescent="0.25">
      <c r="C46" s="1" t="s">
        <v>19</v>
      </c>
      <c r="E46" s="43" t="s">
        <v>68</v>
      </c>
      <c r="M46" s="55"/>
      <c r="X46" s="171"/>
      <c r="Y46" s="168"/>
    </row>
    <row r="47" spans="2:25" ht="15.75" x14ac:dyDescent="0.25">
      <c r="C47" s="1" t="s">
        <v>18</v>
      </c>
      <c r="F47" s="15"/>
      <c r="G47" s="15"/>
      <c r="M47" s="55"/>
      <c r="X47" s="171"/>
      <c r="Y47" s="168"/>
    </row>
    <row r="48" spans="2:25" ht="15.75" x14ac:dyDescent="0.25">
      <c r="C48" s="1" t="s">
        <v>20</v>
      </c>
      <c r="F48" s="15"/>
      <c r="M48" s="55"/>
      <c r="X48" s="171"/>
      <c r="Y48" s="168"/>
    </row>
    <row r="49" spans="6:43" x14ac:dyDescent="0.25">
      <c r="F49" s="15"/>
      <c r="M49" s="55"/>
      <c r="X49" s="171"/>
      <c r="Y49" s="168"/>
    </row>
    <row r="50" spans="6:43" x14ac:dyDescent="0.25">
      <c r="M50" t="s">
        <v>78</v>
      </c>
      <c r="AC50" t="s">
        <v>79</v>
      </c>
      <c r="AD50" s="16"/>
    </row>
    <row r="51" spans="6:43" ht="15.75" thickBot="1" x14ac:dyDescent="0.3">
      <c r="M51" s="153" t="s">
        <v>50</v>
      </c>
      <c r="N51" s="152" t="s">
        <v>42</v>
      </c>
      <c r="O51" s="152" t="s">
        <v>36</v>
      </c>
      <c r="P51" s="152" t="s">
        <v>37</v>
      </c>
      <c r="Q51" s="152" t="s">
        <v>38</v>
      </c>
      <c r="R51" s="152" t="s">
        <v>87</v>
      </c>
      <c r="S51" s="152" t="s">
        <v>94</v>
      </c>
      <c r="T51" s="152" t="s">
        <v>43</v>
      </c>
      <c r="U51" s="152" t="s">
        <v>39</v>
      </c>
      <c r="V51" s="152" t="s">
        <v>40</v>
      </c>
      <c r="W51" s="154" t="s">
        <v>41</v>
      </c>
      <c r="X51" s="154" t="s">
        <v>88</v>
      </c>
      <c r="Y51" s="154" t="s">
        <v>89</v>
      </c>
      <c r="Z51" s="155" t="s">
        <v>92</v>
      </c>
      <c r="AA51" s="153" t="s">
        <v>93</v>
      </c>
      <c r="AC51" s="153" t="s">
        <v>50</v>
      </c>
      <c r="AD51" s="152" t="s">
        <v>42</v>
      </c>
      <c r="AE51" s="152" t="s">
        <v>36</v>
      </c>
      <c r="AF51" s="152" t="s">
        <v>37</v>
      </c>
      <c r="AG51" s="152" t="s">
        <v>38</v>
      </c>
      <c r="AH51" s="152" t="s">
        <v>87</v>
      </c>
      <c r="AI51" s="152" t="s">
        <v>94</v>
      </c>
      <c r="AJ51" s="152" t="s">
        <v>43</v>
      </c>
      <c r="AK51" s="152" t="s">
        <v>39</v>
      </c>
      <c r="AL51" s="152" t="s">
        <v>40</v>
      </c>
      <c r="AM51" s="152" t="s">
        <v>41</v>
      </c>
      <c r="AN51" s="152" t="s">
        <v>88</v>
      </c>
      <c r="AO51" s="154" t="s">
        <v>89</v>
      </c>
      <c r="AP51" s="153" t="s">
        <v>92</v>
      </c>
      <c r="AQ51" s="153" t="s">
        <v>93</v>
      </c>
    </row>
    <row r="52" spans="6:43" ht="15.75" thickTop="1" x14ac:dyDescent="0.25">
      <c r="M52" s="130">
        <v>18</v>
      </c>
      <c r="N52" s="170">
        <v>10</v>
      </c>
      <c r="O52" s="170">
        <v>11</v>
      </c>
      <c r="P52" s="170" t="s">
        <v>22</v>
      </c>
      <c r="Q52" s="170" t="s">
        <v>22</v>
      </c>
      <c r="R52" s="170" t="s">
        <v>22</v>
      </c>
      <c r="S52" s="170" t="s">
        <v>22</v>
      </c>
      <c r="T52" s="170">
        <v>1</v>
      </c>
      <c r="U52" s="170">
        <v>4</v>
      </c>
      <c r="V52" s="170">
        <v>5</v>
      </c>
      <c r="W52" s="170">
        <v>7</v>
      </c>
      <c r="X52" s="170">
        <v>8</v>
      </c>
      <c r="Y52" s="170" t="s">
        <v>22</v>
      </c>
      <c r="Z52" s="170" t="s">
        <v>22</v>
      </c>
      <c r="AA52" s="170" t="s">
        <v>22</v>
      </c>
      <c r="AC52" s="6">
        <v>18</v>
      </c>
      <c r="AD52" s="130">
        <v>3</v>
      </c>
      <c r="AE52" s="130">
        <v>10</v>
      </c>
      <c r="AF52" s="130">
        <v>11</v>
      </c>
      <c r="AG52" s="130" t="s">
        <v>22</v>
      </c>
      <c r="AH52" s="131" t="s">
        <v>22</v>
      </c>
      <c r="AI52" s="131" t="s">
        <v>22</v>
      </c>
      <c r="AJ52" s="130">
        <v>1</v>
      </c>
      <c r="AK52" s="130">
        <v>3</v>
      </c>
      <c r="AL52" s="130">
        <v>4</v>
      </c>
      <c r="AM52" s="130">
        <v>5</v>
      </c>
      <c r="AN52" s="130">
        <v>7</v>
      </c>
      <c r="AO52" s="130">
        <v>8</v>
      </c>
      <c r="AP52" s="130" t="s">
        <v>22</v>
      </c>
      <c r="AQ52" s="130" t="s">
        <v>22</v>
      </c>
    </row>
    <row r="53" spans="6:43" x14ac:dyDescent="0.25">
      <c r="M53" s="130">
        <v>27</v>
      </c>
      <c r="N53" s="170">
        <v>9</v>
      </c>
      <c r="O53" s="170">
        <v>11</v>
      </c>
      <c r="P53" s="170" t="s">
        <v>22</v>
      </c>
      <c r="Q53" s="170" t="s">
        <v>22</v>
      </c>
      <c r="R53" s="170" t="s">
        <v>22</v>
      </c>
      <c r="S53" s="170" t="s">
        <v>22</v>
      </c>
      <c r="T53" s="170">
        <v>1</v>
      </c>
      <c r="U53" s="170">
        <v>7</v>
      </c>
      <c r="V53" s="170" t="s">
        <v>22</v>
      </c>
      <c r="W53" s="170" t="s">
        <v>22</v>
      </c>
      <c r="X53" s="170" t="s">
        <v>22</v>
      </c>
      <c r="Y53" s="170" t="s">
        <v>22</v>
      </c>
      <c r="Z53" s="170" t="s">
        <v>22</v>
      </c>
      <c r="AA53" s="170" t="s">
        <v>22</v>
      </c>
      <c r="AC53" s="6">
        <v>27</v>
      </c>
      <c r="AD53" s="130">
        <v>9</v>
      </c>
      <c r="AE53" s="130">
        <v>11</v>
      </c>
      <c r="AF53" s="130">
        <v>25</v>
      </c>
      <c r="AG53" s="130" t="s">
        <v>22</v>
      </c>
      <c r="AH53" s="131" t="s">
        <v>22</v>
      </c>
      <c r="AI53" s="131" t="s">
        <v>22</v>
      </c>
      <c r="AJ53" s="130">
        <v>1</v>
      </c>
      <c r="AK53" s="130">
        <v>7</v>
      </c>
      <c r="AL53" s="130">
        <v>25</v>
      </c>
      <c r="AM53" s="130" t="s">
        <v>22</v>
      </c>
      <c r="AN53" s="130" t="s">
        <v>22</v>
      </c>
      <c r="AO53" s="130" t="s">
        <v>22</v>
      </c>
      <c r="AP53" s="130" t="s">
        <v>22</v>
      </c>
      <c r="AQ53" s="130" t="s">
        <v>22</v>
      </c>
    </row>
    <row r="54" spans="6:43" x14ac:dyDescent="0.25">
      <c r="M54" s="130">
        <v>28</v>
      </c>
      <c r="N54" s="170">
        <v>18</v>
      </c>
      <c r="O54" s="170">
        <v>20</v>
      </c>
      <c r="P54" s="170">
        <v>24</v>
      </c>
      <c r="Q54" s="170" t="s">
        <v>22</v>
      </c>
      <c r="R54" s="170" t="s">
        <v>22</v>
      </c>
      <c r="S54" s="170" t="s">
        <v>22</v>
      </c>
      <c r="T54" s="170">
        <v>2</v>
      </c>
      <c r="U54" s="170">
        <v>10</v>
      </c>
      <c r="V54" s="170">
        <v>11</v>
      </c>
      <c r="W54" s="170">
        <v>13</v>
      </c>
      <c r="X54" s="170" t="s">
        <v>22</v>
      </c>
      <c r="Y54" s="170" t="s">
        <v>22</v>
      </c>
      <c r="Z54" s="170" t="s">
        <v>22</v>
      </c>
      <c r="AA54" s="170" t="s">
        <v>22</v>
      </c>
      <c r="AC54" s="6">
        <v>28</v>
      </c>
      <c r="AD54" s="130">
        <v>18</v>
      </c>
      <c r="AE54" s="130">
        <v>20</v>
      </c>
      <c r="AF54" s="130">
        <v>24</v>
      </c>
      <c r="AG54" s="130" t="s">
        <v>22</v>
      </c>
      <c r="AH54" s="131" t="s">
        <v>22</v>
      </c>
      <c r="AI54" s="131" t="s">
        <v>22</v>
      </c>
      <c r="AJ54" s="130">
        <v>2</v>
      </c>
      <c r="AK54" s="130">
        <v>10</v>
      </c>
      <c r="AL54" s="130">
        <v>12</v>
      </c>
      <c r="AM54" s="130">
        <v>13</v>
      </c>
      <c r="AN54" s="130" t="s">
        <v>22</v>
      </c>
      <c r="AO54" s="130" t="s">
        <v>22</v>
      </c>
      <c r="AP54" s="130" t="s">
        <v>22</v>
      </c>
      <c r="AQ54" s="130" t="s">
        <v>22</v>
      </c>
    </row>
    <row r="55" spans="6:43" x14ac:dyDescent="0.25">
      <c r="M55" s="130">
        <v>30</v>
      </c>
      <c r="N55" s="170">
        <v>18</v>
      </c>
      <c r="O55" s="170">
        <v>19</v>
      </c>
      <c r="P55" s="170">
        <v>23</v>
      </c>
      <c r="Q55" s="170" t="s">
        <v>22</v>
      </c>
      <c r="R55" s="170" t="s">
        <v>22</v>
      </c>
      <c r="S55" s="170" t="s">
        <v>22</v>
      </c>
      <c r="T55" s="170">
        <v>10</v>
      </c>
      <c r="U55" s="170">
        <v>11</v>
      </c>
      <c r="V55" s="170">
        <v>14</v>
      </c>
      <c r="W55" s="170" t="s">
        <v>22</v>
      </c>
      <c r="X55" s="170" t="s">
        <v>22</v>
      </c>
      <c r="Y55" s="170" t="s">
        <v>22</v>
      </c>
      <c r="Z55" s="170" t="s">
        <v>22</v>
      </c>
      <c r="AA55" s="170" t="s">
        <v>22</v>
      </c>
      <c r="AC55" s="6">
        <v>30</v>
      </c>
      <c r="AD55" s="130">
        <v>17</v>
      </c>
      <c r="AE55" s="130">
        <v>18</v>
      </c>
      <c r="AF55" s="130">
        <v>19</v>
      </c>
      <c r="AG55" s="130">
        <v>23</v>
      </c>
      <c r="AH55" s="131" t="s">
        <v>22</v>
      </c>
      <c r="AI55" s="131" t="s">
        <v>22</v>
      </c>
      <c r="AJ55" s="130">
        <v>10</v>
      </c>
      <c r="AK55" s="130">
        <v>11</v>
      </c>
      <c r="AL55" s="130">
        <v>14</v>
      </c>
      <c r="AM55" s="130">
        <v>16</v>
      </c>
      <c r="AN55" s="130" t="s">
        <v>22</v>
      </c>
      <c r="AO55" s="130" t="s">
        <v>22</v>
      </c>
      <c r="AP55" s="130" t="s">
        <v>22</v>
      </c>
      <c r="AQ55" s="130" t="s">
        <v>22</v>
      </c>
    </row>
    <row r="56" spans="6:43" x14ac:dyDescent="0.25">
      <c r="M56" s="130">
        <v>37</v>
      </c>
      <c r="N56" s="170">
        <v>18</v>
      </c>
      <c r="O56" s="170">
        <v>29</v>
      </c>
      <c r="P56" s="170" t="s">
        <v>22</v>
      </c>
      <c r="Q56" s="170" t="s">
        <v>22</v>
      </c>
      <c r="R56" s="170" t="s">
        <v>22</v>
      </c>
      <c r="S56" s="170" t="s">
        <v>22</v>
      </c>
      <c r="T56" s="170">
        <v>9</v>
      </c>
      <c r="U56" s="170">
        <v>10</v>
      </c>
      <c r="V56" s="170">
        <v>11</v>
      </c>
      <c r="W56" s="170" t="s">
        <v>22</v>
      </c>
      <c r="X56" s="170" t="s">
        <v>22</v>
      </c>
      <c r="Y56" s="170" t="s">
        <v>22</v>
      </c>
      <c r="Z56" s="170" t="s">
        <v>22</v>
      </c>
      <c r="AA56" s="170" t="s">
        <v>22</v>
      </c>
      <c r="AC56" s="6">
        <v>37</v>
      </c>
      <c r="AD56" s="130">
        <v>18</v>
      </c>
      <c r="AE56" s="130">
        <v>29</v>
      </c>
      <c r="AF56" s="130" t="s">
        <v>22</v>
      </c>
      <c r="AG56" s="130" t="s">
        <v>22</v>
      </c>
      <c r="AH56" s="131" t="s">
        <v>22</v>
      </c>
      <c r="AI56" s="131" t="s">
        <v>22</v>
      </c>
      <c r="AJ56" s="130">
        <v>9</v>
      </c>
      <c r="AK56" s="130">
        <v>10</v>
      </c>
      <c r="AL56" s="130">
        <v>21</v>
      </c>
      <c r="AM56" s="130" t="s">
        <v>22</v>
      </c>
      <c r="AN56" s="130" t="s">
        <v>22</v>
      </c>
      <c r="AO56" s="130" t="s">
        <v>22</v>
      </c>
      <c r="AP56" s="130" t="s">
        <v>22</v>
      </c>
      <c r="AQ56" s="130" t="s">
        <v>22</v>
      </c>
    </row>
    <row r="57" spans="6:43" x14ac:dyDescent="0.25">
      <c r="M57" s="130" t="s">
        <v>25</v>
      </c>
      <c r="N57" s="170">
        <v>26</v>
      </c>
      <c r="O57" s="170">
        <v>28</v>
      </c>
      <c r="P57" s="170">
        <v>30</v>
      </c>
      <c r="Q57" s="170">
        <v>31</v>
      </c>
      <c r="R57" s="170" t="s">
        <v>22</v>
      </c>
      <c r="S57" s="170" t="s">
        <v>22</v>
      </c>
      <c r="T57" s="170">
        <v>18</v>
      </c>
      <c r="U57" s="170" t="s">
        <v>22</v>
      </c>
      <c r="V57" s="170" t="s">
        <v>22</v>
      </c>
      <c r="W57" s="170" t="s">
        <v>22</v>
      </c>
      <c r="X57" s="170" t="s">
        <v>22</v>
      </c>
      <c r="Y57" s="170" t="s">
        <v>22</v>
      </c>
      <c r="Z57" s="170" t="s">
        <v>22</v>
      </c>
      <c r="AA57" s="170" t="s">
        <v>22</v>
      </c>
      <c r="AC57" s="6" t="s">
        <v>25</v>
      </c>
      <c r="AD57" s="130">
        <v>26</v>
      </c>
      <c r="AE57" s="130" t="s">
        <v>22</v>
      </c>
      <c r="AF57" s="130" t="s">
        <v>22</v>
      </c>
      <c r="AG57" s="130" t="s">
        <v>22</v>
      </c>
      <c r="AH57" s="131" t="s">
        <v>22</v>
      </c>
      <c r="AI57" s="131" t="s">
        <v>22</v>
      </c>
      <c r="AJ57" s="130">
        <v>5</v>
      </c>
      <c r="AK57" s="130" t="s">
        <v>22</v>
      </c>
      <c r="AL57" s="130" t="s">
        <v>22</v>
      </c>
      <c r="AM57" s="130" t="s">
        <v>22</v>
      </c>
      <c r="AN57" s="130" t="s">
        <v>22</v>
      </c>
      <c r="AO57" s="130" t="s">
        <v>22</v>
      </c>
      <c r="AP57" s="130" t="s">
        <v>22</v>
      </c>
      <c r="AQ57" s="130" t="s">
        <v>22</v>
      </c>
    </row>
    <row r="58" spans="6:43" x14ac:dyDescent="0.25">
      <c r="M58" s="130" t="s">
        <v>26</v>
      </c>
      <c r="N58" s="170">
        <v>17</v>
      </c>
      <c r="O58" s="170">
        <v>19</v>
      </c>
      <c r="P58" s="170">
        <v>23</v>
      </c>
      <c r="Q58" s="170" t="s">
        <v>22</v>
      </c>
      <c r="R58" s="170" t="s">
        <v>22</v>
      </c>
      <c r="S58" s="170" t="s">
        <v>22</v>
      </c>
      <c r="T58" s="170" t="s">
        <v>22</v>
      </c>
      <c r="U58" s="170" t="s">
        <v>22</v>
      </c>
      <c r="V58" s="170" t="s">
        <v>22</v>
      </c>
      <c r="W58" s="170" t="s">
        <v>22</v>
      </c>
      <c r="X58" s="170" t="s">
        <v>22</v>
      </c>
      <c r="Y58" s="170" t="s">
        <v>22</v>
      </c>
      <c r="Z58" s="170" t="s">
        <v>22</v>
      </c>
      <c r="AA58" s="170" t="s">
        <v>22</v>
      </c>
      <c r="AC58" s="6" t="s">
        <v>26</v>
      </c>
      <c r="AD58" s="130">
        <v>27</v>
      </c>
      <c r="AE58" s="130">
        <v>31</v>
      </c>
      <c r="AF58" s="130">
        <v>32</v>
      </c>
      <c r="AG58" s="130" t="s">
        <v>22</v>
      </c>
      <c r="AH58" s="131" t="s">
        <v>22</v>
      </c>
      <c r="AI58" s="131" t="s">
        <v>22</v>
      </c>
      <c r="AJ58" s="130">
        <v>10</v>
      </c>
      <c r="AK58" s="130">
        <v>14</v>
      </c>
      <c r="AL58" s="130">
        <v>17</v>
      </c>
      <c r="AM58" s="130">
        <v>18</v>
      </c>
      <c r="AN58" s="130" t="s">
        <v>22</v>
      </c>
      <c r="AO58" s="130" t="s">
        <v>22</v>
      </c>
      <c r="AP58" s="130" t="s">
        <v>22</v>
      </c>
      <c r="AQ58" s="130" t="s">
        <v>22</v>
      </c>
    </row>
    <row r="59" spans="6:43" x14ac:dyDescent="0.25">
      <c r="M59" s="148" t="s">
        <v>95</v>
      </c>
      <c r="N59" s="170">
        <v>10</v>
      </c>
      <c r="O59" s="170">
        <v>17</v>
      </c>
      <c r="P59" s="170">
        <v>19</v>
      </c>
      <c r="Q59" s="170">
        <v>23</v>
      </c>
      <c r="R59" s="170">
        <v>30</v>
      </c>
      <c r="S59" s="170">
        <v>31</v>
      </c>
      <c r="T59" s="170" t="s">
        <v>22</v>
      </c>
      <c r="U59" s="170" t="s">
        <v>22</v>
      </c>
      <c r="V59" s="170" t="s">
        <v>22</v>
      </c>
      <c r="W59" s="170" t="s">
        <v>22</v>
      </c>
      <c r="X59" s="170" t="s">
        <v>22</v>
      </c>
      <c r="Y59" s="170" t="s">
        <v>22</v>
      </c>
      <c r="Z59" s="170" t="s">
        <v>22</v>
      </c>
      <c r="AA59" s="170" t="s">
        <v>22</v>
      </c>
      <c r="AC59" s="54" t="s">
        <v>95</v>
      </c>
      <c r="AD59" s="130">
        <v>30</v>
      </c>
      <c r="AE59" s="130">
        <v>31</v>
      </c>
      <c r="AF59" s="130" t="s">
        <v>22</v>
      </c>
      <c r="AG59" s="130" t="s">
        <v>22</v>
      </c>
      <c r="AH59" s="131" t="s">
        <v>22</v>
      </c>
      <c r="AI59" s="131" t="s">
        <v>22</v>
      </c>
      <c r="AJ59" s="130">
        <v>10</v>
      </c>
      <c r="AK59" s="130">
        <v>17</v>
      </c>
      <c r="AL59" s="130">
        <v>19</v>
      </c>
      <c r="AM59" s="130">
        <v>23</v>
      </c>
      <c r="AN59" s="130" t="s">
        <v>22</v>
      </c>
      <c r="AO59" s="130" t="s">
        <v>22</v>
      </c>
      <c r="AP59" s="130" t="s">
        <v>22</v>
      </c>
      <c r="AQ59" s="130" t="s">
        <v>22</v>
      </c>
    </row>
    <row r="60" spans="6:43" x14ac:dyDescent="0.25">
      <c r="M60" s="148" t="s">
        <v>139</v>
      </c>
      <c r="N60" s="170">
        <v>2</v>
      </c>
      <c r="O60" s="170">
        <v>20</v>
      </c>
      <c r="P60" s="170">
        <v>24</v>
      </c>
      <c r="Q60" s="170">
        <v>26</v>
      </c>
      <c r="R60" s="170">
        <v>28</v>
      </c>
      <c r="S60" s="170">
        <v>32</v>
      </c>
      <c r="T60" s="170" t="s">
        <v>22</v>
      </c>
      <c r="U60" s="170" t="s">
        <v>22</v>
      </c>
      <c r="V60" s="170" t="s">
        <v>22</v>
      </c>
      <c r="W60" s="170" t="s">
        <v>22</v>
      </c>
      <c r="X60" s="170" t="s">
        <v>22</v>
      </c>
      <c r="Y60" s="170" t="s">
        <v>22</v>
      </c>
      <c r="Z60" s="170" t="s">
        <v>22</v>
      </c>
      <c r="AA60" s="170" t="s">
        <v>22</v>
      </c>
      <c r="AC60" s="54" t="s">
        <v>139</v>
      </c>
      <c r="AD60" s="130">
        <v>20</v>
      </c>
      <c r="AE60" s="130">
        <v>24</v>
      </c>
      <c r="AF60" s="130">
        <v>26</v>
      </c>
      <c r="AG60" s="130">
        <v>28</v>
      </c>
      <c r="AH60" s="131">
        <v>32</v>
      </c>
      <c r="AI60" s="131" t="s">
        <v>22</v>
      </c>
      <c r="AJ60" s="130">
        <v>2</v>
      </c>
      <c r="AK60" s="130" t="s">
        <v>22</v>
      </c>
      <c r="AL60" s="130" t="s">
        <v>22</v>
      </c>
      <c r="AM60" s="130" t="s">
        <v>22</v>
      </c>
      <c r="AN60" s="130" t="s">
        <v>22</v>
      </c>
      <c r="AO60" s="130" t="s">
        <v>22</v>
      </c>
      <c r="AP60" s="130" t="s">
        <v>22</v>
      </c>
      <c r="AQ60" s="130" t="s">
        <v>22</v>
      </c>
    </row>
    <row r="62" spans="6:43" x14ac:dyDescent="0.25">
      <c r="M62" t="s">
        <v>81</v>
      </c>
    </row>
    <row r="63" spans="6:43" x14ac:dyDescent="0.25">
      <c r="M63" s="153" t="s">
        <v>50</v>
      </c>
      <c r="N63" s="168" t="s">
        <v>42</v>
      </c>
      <c r="O63" s="168" t="s">
        <v>36</v>
      </c>
      <c r="P63" s="168" t="s">
        <v>37</v>
      </c>
      <c r="Q63" s="168" t="s">
        <v>38</v>
      </c>
      <c r="R63" s="168" t="s">
        <v>87</v>
      </c>
      <c r="S63" s="168" t="s">
        <v>94</v>
      </c>
      <c r="T63" s="168" t="s">
        <v>43</v>
      </c>
      <c r="U63" s="168" t="s">
        <v>39</v>
      </c>
      <c r="V63" s="168" t="s">
        <v>40</v>
      </c>
      <c r="W63" s="168" t="s">
        <v>41</v>
      </c>
      <c r="X63" s="168" t="s">
        <v>88</v>
      </c>
      <c r="Y63" s="168" t="s">
        <v>89</v>
      </c>
      <c r="Z63" s="168" t="s">
        <v>92</v>
      </c>
      <c r="AA63" s="168" t="s">
        <v>93</v>
      </c>
    </row>
    <row r="64" spans="6:43" x14ac:dyDescent="0.25">
      <c r="M64" s="48">
        <v>1</v>
      </c>
      <c r="N64" s="168" t="s">
        <v>22</v>
      </c>
      <c r="O64" s="168" t="s">
        <v>22</v>
      </c>
      <c r="P64" s="168" t="s">
        <v>22</v>
      </c>
      <c r="Q64" s="168" t="s">
        <v>22</v>
      </c>
      <c r="R64" s="168" t="s">
        <v>22</v>
      </c>
      <c r="S64" s="168" t="s">
        <v>22</v>
      </c>
      <c r="T64" s="168" t="s">
        <v>22</v>
      </c>
      <c r="U64" s="168" t="s">
        <v>22</v>
      </c>
      <c r="V64" s="168" t="s">
        <v>22</v>
      </c>
      <c r="W64" s="168" t="s">
        <v>22</v>
      </c>
      <c r="X64" s="168" t="s">
        <v>22</v>
      </c>
      <c r="Y64" s="168" t="s">
        <v>22</v>
      </c>
      <c r="Z64" s="171" t="s">
        <v>22</v>
      </c>
      <c r="AA64" s="168" t="s">
        <v>22</v>
      </c>
    </row>
    <row r="65" spans="12:27" x14ac:dyDescent="0.25">
      <c r="M65" s="48">
        <v>2</v>
      </c>
      <c r="N65" s="168" t="s">
        <v>22</v>
      </c>
      <c r="O65" s="168" t="s">
        <v>22</v>
      </c>
      <c r="P65" s="168" t="s">
        <v>22</v>
      </c>
      <c r="Q65" s="168" t="s">
        <v>22</v>
      </c>
      <c r="R65" s="168" t="s">
        <v>22</v>
      </c>
      <c r="S65" s="168" t="s">
        <v>22</v>
      </c>
      <c r="T65" s="168" t="s">
        <v>22</v>
      </c>
      <c r="U65" s="168" t="s">
        <v>22</v>
      </c>
      <c r="V65" s="168" t="s">
        <v>22</v>
      </c>
      <c r="W65" s="168" t="s">
        <v>22</v>
      </c>
      <c r="X65" s="168" t="s">
        <v>22</v>
      </c>
      <c r="Y65" s="168" t="s">
        <v>22</v>
      </c>
      <c r="Z65" s="171" t="s">
        <v>22</v>
      </c>
      <c r="AA65" s="168" t="s">
        <v>22</v>
      </c>
    </row>
    <row r="66" spans="12:27" x14ac:dyDescent="0.25">
      <c r="L66" s="223"/>
      <c r="M66" s="48">
        <v>3</v>
      </c>
      <c r="N66" s="168" t="s">
        <v>22</v>
      </c>
      <c r="O66" s="168" t="s">
        <v>22</v>
      </c>
      <c r="P66" s="168" t="s">
        <v>22</v>
      </c>
      <c r="Q66" s="168" t="s">
        <v>22</v>
      </c>
      <c r="R66" s="168" t="s">
        <v>22</v>
      </c>
      <c r="S66" s="168" t="s">
        <v>22</v>
      </c>
      <c r="T66" s="168" t="s">
        <v>22</v>
      </c>
      <c r="U66" s="168" t="s">
        <v>22</v>
      </c>
      <c r="V66" s="168" t="s">
        <v>22</v>
      </c>
      <c r="W66" s="168" t="s">
        <v>22</v>
      </c>
      <c r="X66" s="168" t="s">
        <v>22</v>
      </c>
      <c r="Y66" s="168" t="s">
        <v>22</v>
      </c>
      <c r="Z66" s="171" t="s">
        <v>22</v>
      </c>
      <c r="AA66" s="168" t="s">
        <v>22</v>
      </c>
    </row>
    <row r="67" spans="12:27" x14ac:dyDescent="0.25">
      <c r="L67" s="223"/>
      <c r="M67" s="48">
        <v>4</v>
      </c>
      <c r="N67" s="168" t="s">
        <v>22</v>
      </c>
      <c r="O67" s="168" t="s">
        <v>22</v>
      </c>
      <c r="P67" s="168" t="s">
        <v>22</v>
      </c>
      <c r="Q67" s="168" t="s">
        <v>22</v>
      </c>
      <c r="R67" s="168" t="s">
        <v>22</v>
      </c>
      <c r="S67" s="168" t="s">
        <v>22</v>
      </c>
      <c r="T67" s="168" t="s">
        <v>22</v>
      </c>
      <c r="U67" s="168" t="s">
        <v>22</v>
      </c>
      <c r="V67" s="168" t="s">
        <v>22</v>
      </c>
      <c r="W67" s="168" t="s">
        <v>22</v>
      </c>
      <c r="X67" s="168" t="s">
        <v>22</v>
      </c>
      <c r="Y67" s="168" t="s">
        <v>22</v>
      </c>
      <c r="Z67" s="171" t="s">
        <v>22</v>
      </c>
      <c r="AA67" s="168" t="s">
        <v>22</v>
      </c>
    </row>
    <row r="68" spans="12:27" x14ac:dyDescent="0.25">
      <c r="L68" s="223"/>
      <c r="M68" s="48">
        <v>5</v>
      </c>
      <c r="N68" s="168" t="s">
        <v>22</v>
      </c>
      <c r="O68" s="168" t="s">
        <v>22</v>
      </c>
      <c r="P68" s="168" t="s">
        <v>22</v>
      </c>
      <c r="Q68" s="168" t="s">
        <v>22</v>
      </c>
      <c r="R68" s="168" t="s">
        <v>22</v>
      </c>
      <c r="S68" s="168" t="s">
        <v>22</v>
      </c>
      <c r="T68" s="168" t="s">
        <v>22</v>
      </c>
      <c r="U68" s="168" t="s">
        <v>22</v>
      </c>
      <c r="V68" s="168" t="s">
        <v>22</v>
      </c>
      <c r="W68" s="168" t="s">
        <v>22</v>
      </c>
      <c r="X68" s="168" t="s">
        <v>22</v>
      </c>
      <c r="Y68" s="168" t="s">
        <v>22</v>
      </c>
      <c r="Z68" s="171" t="s">
        <v>22</v>
      </c>
      <c r="AA68" s="168" t="s">
        <v>22</v>
      </c>
    </row>
    <row r="69" spans="12:27" x14ac:dyDescent="0.25">
      <c r="L69" s="223"/>
      <c r="M69" s="48">
        <v>6</v>
      </c>
      <c r="N69" s="168" t="s">
        <v>22</v>
      </c>
      <c r="O69" s="168" t="s">
        <v>22</v>
      </c>
      <c r="P69" s="168" t="s">
        <v>22</v>
      </c>
      <c r="Q69" s="168" t="s">
        <v>22</v>
      </c>
      <c r="R69" s="168" t="s">
        <v>22</v>
      </c>
      <c r="S69" s="168" t="s">
        <v>22</v>
      </c>
      <c r="T69" s="168" t="s">
        <v>22</v>
      </c>
      <c r="U69" s="168" t="s">
        <v>22</v>
      </c>
      <c r="V69" s="168" t="s">
        <v>22</v>
      </c>
      <c r="W69" s="168" t="s">
        <v>22</v>
      </c>
      <c r="X69" s="168" t="s">
        <v>22</v>
      </c>
      <c r="Y69" s="168" t="s">
        <v>22</v>
      </c>
      <c r="Z69" s="171" t="s">
        <v>22</v>
      </c>
      <c r="AA69" s="168" t="s">
        <v>22</v>
      </c>
    </row>
    <row r="70" spans="12:27" x14ac:dyDescent="0.25">
      <c r="L70" s="223"/>
      <c r="M70" s="48">
        <v>7</v>
      </c>
      <c r="N70" s="168" t="s">
        <v>22</v>
      </c>
      <c r="O70" s="168" t="s">
        <v>22</v>
      </c>
      <c r="P70" s="168" t="s">
        <v>22</v>
      </c>
      <c r="Q70" s="168" t="s">
        <v>22</v>
      </c>
      <c r="R70" s="168" t="s">
        <v>22</v>
      </c>
      <c r="S70" s="168" t="s">
        <v>22</v>
      </c>
      <c r="T70" s="168" t="s">
        <v>22</v>
      </c>
      <c r="U70" s="168" t="s">
        <v>22</v>
      </c>
      <c r="V70" s="168" t="s">
        <v>22</v>
      </c>
      <c r="W70" s="168" t="s">
        <v>22</v>
      </c>
      <c r="X70" s="168" t="s">
        <v>22</v>
      </c>
      <c r="Y70" s="168" t="s">
        <v>22</v>
      </c>
      <c r="Z70" s="171" t="s">
        <v>22</v>
      </c>
      <c r="AA70" s="168" t="s">
        <v>22</v>
      </c>
    </row>
    <row r="71" spans="12:27" x14ac:dyDescent="0.25">
      <c r="L71" s="223"/>
      <c r="M71" s="48">
        <v>8</v>
      </c>
      <c r="N71" s="168" t="s">
        <v>22</v>
      </c>
      <c r="O71" s="168" t="s">
        <v>22</v>
      </c>
      <c r="P71" s="168" t="s">
        <v>22</v>
      </c>
      <c r="Q71" s="168" t="s">
        <v>22</v>
      </c>
      <c r="R71" s="168" t="s">
        <v>22</v>
      </c>
      <c r="S71" s="168" t="s">
        <v>22</v>
      </c>
      <c r="T71" s="168" t="s">
        <v>22</v>
      </c>
      <c r="U71" s="168" t="s">
        <v>22</v>
      </c>
      <c r="V71" s="168" t="s">
        <v>22</v>
      </c>
      <c r="W71" s="168" t="s">
        <v>22</v>
      </c>
      <c r="X71" s="168" t="s">
        <v>22</v>
      </c>
      <c r="Y71" s="168" t="s">
        <v>22</v>
      </c>
      <c r="Z71" s="171" t="s">
        <v>22</v>
      </c>
      <c r="AA71" s="168" t="s">
        <v>22</v>
      </c>
    </row>
    <row r="72" spans="12:27" x14ac:dyDescent="0.25">
      <c r="L72" s="223"/>
      <c r="M72" s="48">
        <v>9</v>
      </c>
      <c r="N72" s="168">
        <v>1</v>
      </c>
      <c r="O72" s="168">
        <v>7</v>
      </c>
      <c r="P72" s="168" t="s">
        <v>22</v>
      </c>
      <c r="Q72" s="168" t="s">
        <v>22</v>
      </c>
      <c r="R72" s="168" t="s">
        <v>22</v>
      </c>
      <c r="S72" s="168" t="s">
        <v>22</v>
      </c>
      <c r="T72" s="168" t="s">
        <v>22</v>
      </c>
      <c r="U72" s="168" t="s">
        <v>22</v>
      </c>
      <c r="V72" s="168" t="s">
        <v>22</v>
      </c>
      <c r="W72" s="168" t="s">
        <v>22</v>
      </c>
      <c r="X72" s="168" t="s">
        <v>22</v>
      </c>
      <c r="Y72" s="168" t="s">
        <v>22</v>
      </c>
      <c r="Z72" s="171" t="s">
        <v>22</v>
      </c>
      <c r="AA72" s="168" t="s">
        <v>22</v>
      </c>
    </row>
    <row r="73" spans="12:27" x14ac:dyDescent="0.25">
      <c r="L73" s="223"/>
      <c r="M73" s="48">
        <v>10</v>
      </c>
      <c r="N73" s="168">
        <v>4</v>
      </c>
      <c r="O73" s="168">
        <v>5</v>
      </c>
      <c r="P73" s="168">
        <v>7</v>
      </c>
      <c r="Q73" s="168">
        <v>8</v>
      </c>
      <c r="R73" s="168" t="s">
        <v>22</v>
      </c>
      <c r="S73" s="168" t="s">
        <v>22</v>
      </c>
      <c r="T73" s="168" t="s">
        <v>22</v>
      </c>
      <c r="U73" s="168" t="s">
        <v>22</v>
      </c>
      <c r="V73" s="168" t="s">
        <v>22</v>
      </c>
      <c r="W73" s="168" t="s">
        <v>22</v>
      </c>
      <c r="X73" s="168" t="s">
        <v>22</v>
      </c>
      <c r="Y73" s="168" t="s">
        <v>22</v>
      </c>
      <c r="Z73" s="171" t="s">
        <v>22</v>
      </c>
      <c r="AA73" s="168" t="s">
        <v>22</v>
      </c>
    </row>
    <row r="74" spans="12:27" x14ac:dyDescent="0.25">
      <c r="L74" s="223"/>
      <c r="M74" s="48">
        <v>11</v>
      </c>
      <c r="N74" s="168">
        <v>1</v>
      </c>
      <c r="O74" s="168">
        <v>7</v>
      </c>
      <c r="P74" s="168" t="s">
        <v>22</v>
      </c>
      <c r="Q74" s="168" t="s">
        <v>22</v>
      </c>
      <c r="R74" s="168" t="s">
        <v>22</v>
      </c>
      <c r="S74" s="168" t="s">
        <v>22</v>
      </c>
      <c r="T74" s="168" t="s">
        <v>22</v>
      </c>
      <c r="U74" s="168" t="s">
        <v>22</v>
      </c>
      <c r="V74" s="168" t="s">
        <v>22</v>
      </c>
      <c r="W74" s="168" t="s">
        <v>22</v>
      </c>
      <c r="X74" s="168" t="s">
        <v>22</v>
      </c>
      <c r="Y74" s="168" t="s">
        <v>22</v>
      </c>
      <c r="Z74" s="171" t="s">
        <v>22</v>
      </c>
      <c r="AA74" s="168" t="s">
        <v>22</v>
      </c>
    </row>
    <row r="75" spans="12:27" x14ac:dyDescent="0.25">
      <c r="L75" s="223"/>
      <c r="M75" s="48">
        <v>12</v>
      </c>
      <c r="N75" s="168">
        <v>2</v>
      </c>
      <c r="O75" s="168">
        <v>6</v>
      </c>
      <c r="P75" s="168" t="s">
        <v>22</v>
      </c>
      <c r="Q75" s="168" t="s">
        <v>22</v>
      </c>
      <c r="R75" s="168" t="s">
        <v>22</v>
      </c>
      <c r="S75" s="168" t="s">
        <v>22</v>
      </c>
      <c r="T75" s="168" t="s">
        <v>22</v>
      </c>
      <c r="U75" s="168" t="s">
        <v>22</v>
      </c>
      <c r="V75" s="168" t="s">
        <v>22</v>
      </c>
      <c r="W75" s="168" t="s">
        <v>22</v>
      </c>
      <c r="X75" s="168" t="s">
        <v>22</v>
      </c>
      <c r="Y75" s="168" t="s">
        <v>22</v>
      </c>
      <c r="Z75" s="171" t="s">
        <v>22</v>
      </c>
      <c r="AA75" s="168" t="s">
        <v>22</v>
      </c>
    </row>
    <row r="76" spans="12:27" x14ac:dyDescent="0.25">
      <c r="L76" s="223"/>
      <c r="M76" s="48">
        <v>13</v>
      </c>
      <c r="N76" s="168">
        <v>1</v>
      </c>
      <c r="O76" s="168">
        <v>6</v>
      </c>
      <c r="P76" s="168" t="s">
        <v>22</v>
      </c>
      <c r="Q76" s="168" t="s">
        <v>22</v>
      </c>
      <c r="R76" s="168" t="s">
        <v>22</v>
      </c>
      <c r="S76" s="168" t="s">
        <v>22</v>
      </c>
      <c r="T76" s="168" t="s">
        <v>22</v>
      </c>
      <c r="U76" s="168" t="s">
        <v>22</v>
      </c>
      <c r="V76" s="168" t="s">
        <v>22</v>
      </c>
      <c r="W76" s="168" t="s">
        <v>22</v>
      </c>
      <c r="X76" s="168" t="s">
        <v>22</v>
      </c>
      <c r="Y76" s="168" t="s">
        <v>22</v>
      </c>
      <c r="Z76" s="171" t="s">
        <v>22</v>
      </c>
      <c r="AA76" s="168" t="s">
        <v>22</v>
      </c>
    </row>
    <row r="77" spans="12:27" x14ac:dyDescent="0.25">
      <c r="L77" s="223"/>
      <c r="M77" s="48">
        <v>14</v>
      </c>
      <c r="N77" s="168">
        <v>1</v>
      </c>
      <c r="O77" s="168">
        <v>5</v>
      </c>
      <c r="P77" s="168">
        <v>8</v>
      </c>
      <c r="Q77" s="168" t="s">
        <v>22</v>
      </c>
      <c r="R77" s="168" t="s">
        <v>22</v>
      </c>
      <c r="S77" s="168" t="s">
        <v>22</v>
      </c>
      <c r="T77" s="168" t="s">
        <v>22</v>
      </c>
      <c r="U77" s="168" t="s">
        <v>22</v>
      </c>
      <c r="V77" s="168" t="s">
        <v>22</v>
      </c>
      <c r="W77" s="168" t="s">
        <v>22</v>
      </c>
      <c r="X77" s="168" t="s">
        <v>22</v>
      </c>
      <c r="Y77" s="168" t="s">
        <v>22</v>
      </c>
      <c r="Z77" s="171" t="s">
        <v>22</v>
      </c>
      <c r="AA77" s="168" t="s">
        <v>22</v>
      </c>
    </row>
    <row r="78" spans="12:27" x14ac:dyDescent="0.25">
      <c r="L78" s="223"/>
      <c r="M78" s="48">
        <v>15</v>
      </c>
      <c r="N78" s="168">
        <v>4</v>
      </c>
      <c r="O78" s="168" t="s">
        <v>22</v>
      </c>
      <c r="P78" s="168" t="s">
        <v>22</v>
      </c>
      <c r="Q78" s="168" t="s">
        <v>22</v>
      </c>
      <c r="R78" s="168" t="s">
        <v>22</v>
      </c>
      <c r="S78" s="168" t="s">
        <v>22</v>
      </c>
      <c r="T78" s="168" t="s">
        <v>22</v>
      </c>
      <c r="U78" s="168" t="s">
        <v>22</v>
      </c>
      <c r="V78" s="168" t="s">
        <v>22</v>
      </c>
      <c r="W78" s="168" t="s">
        <v>22</v>
      </c>
      <c r="X78" s="168" t="s">
        <v>22</v>
      </c>
      <c r="Y78" s="168" t="s">
        <v>22</v>
      </c>
      <c r="Z78" s="171" t="s">
        <v>22</v>
      </c>
      <c r="AA78" s="168" t="s">
        <v>22</v>
      </c>
    </row>
    <row r="79" spans="12:27" x14ac:dyDescent="0.25">
      <c r="L79" s="223"/>
      <c r="M79" s="48">
        <v>16</v>
      </c>
      <c r="N79" s="168" t="s">
        <v>22</v>
      </c>
      <c r="O79" s="168" t="s">
        <v>22</v>
      </c>
      <c r="P79" s="168" t="s">
        <v>22</v>
      </c>
      <c r="Q79" s="168" t="s">
        <v>22</v>
      </c>
      <c r="R79" s="168" t="s">
        <v>22</v>
      </c>
      <c r="S79" s="168" t="s">
        <v>22</v>
      </c>
      <c r="T79" s="168" t="s">
        <v>22</v>
      </c>
      <c r="U79" s="168" t="s">
        <v>22</v>
      </c>
      <c r="V79" s="168" t="s">
        <v>22</v>
      </c>
      <c r="W79" s="168" t="s">
        <v>22</v>
      </c>
      <c r="X79" s="168" t="s">
        <v>22</v>
      </c>
      <c r="Y79" s="168" t="s">
        <v>22</v>
      </c>
      <c r="Z79" s="171" t="s">
        <v>22</v>
      </c>
      <c r="AA79" s="168" t="s">
        <v>22</v>
      </c>
    </row>
    <row r="80" spans="12:27" x14ac:dyDescent="0.25">
      <c r="L80" s="223"/>
      <c r="M80" s="48">
        <v>17</v>
      </c>
      <c r="N80" s="168">
        <v>10</v>
      </c>
      <c r="O80" s="168">
        <v>14</v>
      </c>
      <c r="P80" s="168" t="s">
        <v>22</v>
      </c>
      <c r="Q80" s="168" t="s">
        <v>22</v>
      </c>
      <c r="R80" s="168" t="s">
        <v>22</v>
      </c>
      <c r="S80" s="168" t="s">
        <v>22</v>
      </c>
      <c r="T80" s="168">
        <v>1</v>
      </c>
      <c r="U80" s="168">
        <v>4</v>
      </c>
      <c r="V80" s="168">
        <v>5</v>
      </c>
      <c r="W80" s="168">
        <v>7</v>
      </c>
      <c r="X80" s="168">
        <v>8</v>
      </c>
      <c r="Y80" s="168" t="s">
        <v>22</v>
      </c>
      <c r="Z80" s="171" t="s">
        <v>22</v>
      </c>
      <c r="AA80" s="168" t="s">
        <v>22</v>
      </c>
    </row>
    <row r="81" spans="12:27" x14ac:dyDescent="0.25">
      <c r="L81" s="223"/>
      <c r="M81" s="48">
        <v>19</v>
      </c>
      <c r="N81" s="168">
        <v>10</v>
      </c>
      <c r="O81" s="168">
        <v>11</v>
      </c>
      <c r="P81" s="168">
        <v>14</v>
      </c>
      <c r="Q81" s="168" t="s">
        <v>22</v>
      </c>
      <c r="R81" s="168" t="s">
        <v>22</v>
      </c>
      <c r="S81" s="168" t="s">
        <v>22</v>
      </c>
      <c r="T81" s="168">
        <v>1</v>
      </c>
      <c r="U81" s="168">
        <v>4</v>
      </c>
      <c r="V81" s="168">
        <v>5</v>
      </c>
      <c r="W81" s="168">
        <v>7</v>
      </c>
      <c r="X81" s="168">
        <v>8</v>
      </c>
      <c r="Y81" s="168" t="s">
        <v>22</v>
      </c>
      <c r="Z81" s="171" t="s">
        <v>22</v>
      </c>
      <c r="AA81" s="168" t="s">
        <v>22</v>
      </c>
    </row>
    <row r="82" spans="12:27" x14ac:dyDescent="0.25">
      <c r="L82" s="223"/>
      <c r="M82" s="48">
        <v>20</v>
      </c>
      <c r="N82" s="168">
        <v>2</v>
      </c>
      <c r="O82" s="168">
        <v>13</v>
      </c>
      <c r="P82" s="168" t="s">
        <v>22</v>
      </c>
      <c r="Q82" s="168" t="s">
        <v>22</v>
      </c>
      <c r="R82" s="168" t="s">
        <v>22</v>
      </c>
      <c r="S82" s="168" t="s">
        <v>22</v>
      </c>
      <c r="T82" s="168">
        <v>1</v>
      </c>
      <c r="U82" s="168">
        <v>6</v>
      </c>
      <c r="V82" s="168" t="s">
        <v>22</v>
      </c>
      <c r="W82" s="168" t="s">
        <v>22</v>
      </c>
      <c r="X82" s="168" t="s">
        <v>22</v>
      </c>
      <c r="Y82" s="168" t="s">
        <v>22</v>
      </c>
      <c r="Z82" s="171" t="s">
        <v>22</v>
      </c>
      <c r="AA82" s="168" t="s">
        <v>22</v>
      </c>
    </row>
    <row r="83" spans="12:27" x14ac:dyDescent="0.25">
      <c r="L83" s="223"/>
      <c r="M83" s="48">
        <v>21</v>
      </c>
      <c r="N83" s="168">
        <v>9</v>
      </c>
      <c r="O83" s="168">
        <v>12</v>
      </c>
      <c r="P83" s="168" t="s">
        <v>22</v>
      </c>
      <c r="Q83" s="168" t="s">
        <v>22</v>
      </c>
      <c r="R83" s="168" t="s">
        <v>22</v>
      </c>
      <c r="S83" s="168" t="s">
        <v>22</v>
      </c>
      <c r="T83" s="168">
        <v>1</v>
      </c>
      <c r="U83" s="168">
        <v>2</v>
      </c>
      <c r="V83" s="168">
        <v>6</v>
      </c>
      <c r="W83" s="168">
        <v>7</v>
      </c>
      <c r="X83" s="168" t="s">
        <v>22</v>
      </c>
      <c r="Y83" s="168" t="s">
        <v>22</v>
      </c>
      <c r="Z83" s="171" t="s">
        <v>22</v>
      </c>
      <c r="AA83" s="168" t="s">
        <v>22</v>
      </c>
    </row>
    <row r="84" spans="12:27" x14ac:dyDescent="0.25">
      <c r="L84" s="223"/>
      <c r="M84" s="48">
        <v>22</v>
      </c>
      <c r="N84" s="168">
        <v>9</v>
      </c>
      <c r="O84" s="168" t="s">
        <v>22</v>
      </c>
      <c r="P84" s="168" t="s">
        <v>22</v>
      </c>
      <c r="Q84" s="168" t="s">
        <v>22</v>
      </c>
      <c r="R84" s="168" t="s">
        <v>22</v>
      </c>
      <c r="S84" s="168" t="s">
        <v>22</v>
      </c>
      <c r="T84" s="168">
        <v>1</v>
      </c>
      <c r="U84" s="168">
        <v>6</v>
      </c>
      <c r="V84" s="168">
        <v>7</v>
      </c>
      <c r="W84" s="168" t="s">
        <v>22</v>
      </c>
      <c r="X84" s="168" t="s">
        <v>22</v>
      </c>
      <c r="Y84" s="168" t="s">
        <v>22</v>
      </c>
      <c r="Z84" s="171" t="s">
        <v>22</v>
      </c>
      <c r="AA84" s="168" t="s">
        <v>22</v>
      </c>
    </row>
    <row r="85" spans="12:27" x14ac:dyDescent="0.25">
      <c r="L85" s="223"/>
      <c r="M85" s="48">
        <v>23</v>
      </c>
      <c r="N85" s="168">
        <v>10</v>
      </c>
      <c r="O85" s="168">
        <v>14</v>
      </c>
      <c r="P85" s="168" t="s">
        <v>22</v>
      </c>
      <c r="Q85" s="168" t="s">
        <v>22</v>
      </c>
      <c r="R85" s="168" t="s">
        <v>22</v>
      </c>
      <c r="S85" s="168" t="s">
        <v>22</v>
      </c>
      <c r="T85" s="168">
        <v>1</v>
      </c>
      <c r="U85" s="168">
        <v>4</v>
      </c>
      <c r="V85" s="168">
        <v>5</v>
      </c>
      <c r="W85" s="168">
        <v>7</v>
      </c>
      <c r="X85" s="168">
        <v>8</v>
      </c>
      <c r="Y85" s="168" t="s">
        <v>22</v>
      </c>
      <c r="Z85" s="171" t="s">
        <v>22</v>
      </c>
      <c r="AA85" s="168" t="s">
        <v>22</v>
      </c>
    </row>
    <row r="86" spans="12:27" x14ac:dyDescent="0.25">
      <c r="L86" s="223"/>
      <c r="M86" s="48">
        <v>24</v>
      </c>
      <c r="N86" s="168">
        <v>13</v>
      </c>
      <c r="O86" s="168" t="s">
        <v>22</v>
      </c>
      <c r="P86" s="168" t="s">
        <v>22</v>
      </c>
      <c r="Q86" s="168" t="s">
        <v>22</v>
      </c>
      <c r="R86" s="168" t="s">
        <v>22</v>
      </c>
      <c r="S86" s="168" t="s">
        <v>22</v>
      </c>
      <c r="T86" s="168">
        <v>1</v>
      </c>
      <c r="U86" s="168">
        <v>6</v>
      </c>
      <c r="V86" s="168" t="s">
        <v>22</v>
      </c>
      <c r="W86" s="168" t="s">
        <v>22</v>
      </c>
      <c r="X86" s="168" t="s">
        <v>22</v>
      </c>
      <c r="Y86" s="168" t="s">
        <v>22</v>
      </c>
      <c r="Z86" s="171" t="s">
        <v>22</v>
      </c>
      <c r="AA86" s="168" t="s">
        <v>22</v>
      </c>
    </row>
    <row r="87" spans="12:27" x14ac:dyDescent="0.25">
      <c r="L87" s="223"/>
      <c r="M87" s="48">
        <v>25</v>
      </c>
      <c r="N87" s="168">
        <v>9</v>
      </c>
      <c r="O87" s="168" t="s">
        <v>22</v>
      </c>
      <c r="P87" s="168" t="s">
        <v>22</v>
      </c>
      <c r="Q87" s="168" t="s">
        <v>22</v>
      </c>
      <c r="R87" s="168" t="s">
        <v>22</v>
      </c>
      <c r="S87" s="168" t="s">
        <v>22</v>
      </c>
      <c r="T87" s="168">
        <v>1</v>
      </c>
      <c r="U87" s="168">
        <v>7</v>
      </c>
      <c r="V87" s="168" t="s">
        <v>22</v>
      </c>
      <c r="W87" s="168" t="s">
        <v>22</v>
      </c>
      <c r="X87" s="168" t="s">
        <v>22</v>
      </c>
      <c r="Y87" s="168" t="s">
        <v>22</v>
      </c>
      <c r="Z87" s="171" t="s">
        <v>22</v>
      </c>
      <c r="AA87" s="168" t="s">
        <v>22</v>
      </c>
    </row>
    <row r="88" spans="12:27" x14ac:dyDescent="0.25">
      <c r="L88" s="223"/>
      <c r="M88" s="48">
        <v>26</v>
      </c>
      <c r="N88" s="168">
        <v>18</v>
      </c>
      <c r="O88" s="168" t="s">
        <v>22</v>
      </c>
      <c r="P88" s="168" t="s">
        <v>22</v>
      </c>
      <c r="Q88" s="168" t="s">
        <v>22</v>
      </c>
      <c r="R88" s="168" t="s">
        <v>22</v>
      </c>
      <c r="S88" s="168" t="s">
        <v>22</v>
      </c>
      <c r="T88" s="168">
        <v>10</v>
      </c>
      <c r="U88" s="168">
        <v>11</v>
      </c>
      <c r="V88" s="168" t="s">
        <v>22</v>
      </c>
      <c r="W88" s="168" t="s">
        <v>22</v>
      </c>
      <c r="X88" s="168" t="s">
        <v>22</v>
      </c>
      <c r="Y88" s="168" t="s">
        <v>22</v>
      </c>
      <c r="Z88" s="171" t="s">
        <v>22</v>
      </c>
      <c r="AA88" s="168" t="s">
        <v>22</v>
      </c>
    </row>
    <row r="89" spans="12:27" x14ac:dyDescent="0.25">
      <c r="L89" s="223"/>
      <c r="M89" s="48">
        <v>29</v>
      </c>
      <c r="N89" s="168">
        <v>9</v>
      </c>
      <c r="O89" s="168" t="s">
        <v>22</v>
      </c>
      <c r="P89" s="168" t="s">
        <v>22</v>
      </c>
      <c r="Q89" s="168" t="s">
        <v>22</v>
      </c>
      <c r="R89" s="168" t="s">
        <v>22</v>
      </c>
      <c r="S89" s="168" t="s">
        <v>22</v>
      </c>
      <c r="T89" s="168">
        <v>1</v>
      </c>
      <c r="U89" s="168">
        <v>6</v>
      </c>
      <c r="V89" s="168">
        <v>7</v>
      </c>
      <c r="W89" s="168" t="s">
        <v>22</v>
      </c>
      <c r="X89" s="168" t="s">
        <v>22</v>
      </c>
      <c r="Y89" s="168" t="s">
        <v>22</v>
      </c>
      <c r="Z89" s="171" t="s">
        <v>22</v>
      </c>
      <c r="AA89" s="168" t="s">
        <v>22</v>
      </c>
    </row>
    <row r="90" spans="12:27" x14ac:dyDescent="0.25">
      <c r="L90" s="223"/>
      <c r="M90" s="48">
        <v>31</v>
      </c>
      <c r="N90" s="168">
        <v>18</v>
      </c>
      <c r="O90" s="168" t="s">
        <v>22</v>
      </c>
      <c r="P90" s="168" t="s">
        <v>22</v>
      </c>
      <c r="Q90" s="168" t="s">
        <v>22</v>
      </c>
      <c r="R90" s="168" t="s">
        <v>22</v>
      </c>
      <c r="S90" s="168" t="s">
        <v>22</v>
      </c>
      <c r="T90" s="168">
        <v>10</v>
      </c>
      <c r="U90" s="168">
        <v>11</v>
      </c>
      <c r="V90" s="168" t="s">
        <v>22</v>
      </c>
      <c r="W90" s="168" t="s">
        <v>22</v>
      </c>
      <c r="X90" s="168" t="s">
        <v>22</v>
      </c>
      <c r="Y90" s="168" t="s">
        <v>22</v>
      </c>
      <c r="Z90" s="171" t="s">
        <v>22</v>
      </c>
      <c r="AA90" s="168" t="s">
        <v>22</v>
      </c>
    </row>
    <row r="91" spans="12:27" x14ac:dyDescent="0.25">
      <c r="L91" s="223"/>
      <c r="M91" s="48">
        <v>32</v>
      </c>
      <c r="N91" s="168">
        <v>15</v>
      </c>
      <c r="O91" s="168">
        <v>19</v>
      </c>
      <c r="P91" s="168" t="s">
        <v>22</v>
      </c>
      <c r="Q91" s="168" t="s">
        <v>22</v>
      </c>
      <c r="R91" s="168" t="s">
        <v>22</v>
      </c>
      <c r="S91" s="168" t="s">
        <v>22</v>
      </c>
      <c r="T91" s="168">
        <v>3</v>
      </c>
      <c r="U91" s="168">
        <v>4</v>
      </c>
      <c r="V91" s="168">
        <v>10</v>
      </c>
      <c r="W91" s="168">
        <v>11</v>
      </c>
      <c r="X91" s="168">
        <v>14</v>
      </c>
      <c r="Y91" s="168" t="s">
        <v>22</v>
      </c>
      <c r="Z91" s="171" t="s">
        <v>22</v>
      </c>
      <c r="AA91" s="168" t="s">
        <v>22</v>
      </c>
    </row>
    <row r="92" spans="12:27" x14ac:dyDescent="0.25">
      <c r="L92" s="223"/>
      <c r="M92" s="48">
        <v>33</v>
      </c>
      <c r="N92" s="168">
        <v>16</v>
      </c>
      <c r="O92" s="168" t="s">
        <v>22</v>
      </c>
      <c r="P92" s="168" t="s">
        <v>22</v>
      </c>
      <c r="Q92" s="168" t="s">
        <v>22</v>
      </c>
      <c r="R92" s="168" t="s">
        <v>22</v>
      </c>
      <c r="S92" s="168" t="s">
        <v>22</v>
      </c>
      <c r="T92" s="168" t="s">
        <v>22</v>
      </c>
      <c r="U92" s="168" t="s">
        <v>22</v>
      </c>
      <c r="V92" s="168" t="s">
        <v>22</v>
      </c>
      <c r="W92" s="168" t="s">
        <v>22</v>
      </c>
      <c r="X92" s="168" t="s">
        <v>22</v>
      </c>
      <c r="Y92" s="168" t="s">
        <v>22</v>
      </c>
      <c r="Z92" s="171" t="s">
        <v>22</v>
      </c>
      <c r="AA92" s="168" t="s">
        <v>22</v>
      </c>
    </row>
    <row r="93" spans="12:27" x14ac:dyDescent="0.25">
      <c r="L93" s="223"/>
      <c r="M93" s="48">
        <v>34</v>
      </c>
      <c r="N93" s="168">
        <v>20</v>
      </c>
      <c r="O93" s="168">
        <v>21</v>
      </c>
      <c r="P93" s="168">
        <v>22</v>
      </c>
      <c r="Q93" s="168">
        <v>24</v>
      </c>
      <c r="R93" s="168" t="s">
        <v>22</v>
      </c>
      <c r="S93" s="168" t="s">
        <v>22</v>
      </c>
      <c r="T93" s="168">
        <v>2</v>
      </c>
      <c r="U93" s="168">
        <v>9</v>
      </c>
      <c r="V93" s="168">
        <v>12</v>
      </c>
      <c r="W93" s="168">
        <v>13</v>
      </c>
      <c r="X93" s="168" t="s">
        <v>22</v>
      </c>
      <c r="Y93" s="168" t="s">
        <v>22</v>
      </c>
      <c r="Z93" s="171" t="s">
        <v>22</v>
      </c>
      <c r="AA93" s="168" t="s">
        <v>22</v>
      </c>
    </row>
    <row r="94" spans="12:27" x14ac:dyDescent="0.25">
      <c r="L94" s="223"/>
      <c r="M94" s="48">
        <v>35</v>
      </c>
      <c r="N94" s="168" t="s">
        <v>22</v>
      </c>
      <c r="O94" s="168" t="s">
        <v>22</v>
      </c>
      <c r="P94" s="168" t="s">
        <v>22</v>
      </c>
      <c r="Q94" s="168" t="s">
        <v>22</v>
      </c>
      <c r="R94" s="168" t="s">
        <v>22</v>
      </c>
      <c r="S94" s="168" t="s">
        <v>22</v>
      </c>
      <c r="T94" s="168">
        <v>10</v>
      </c>
      <c r="U94" s="168" t="s">
        <v>22</v>
      </c>
      <c r="V94" s="168" t="s">
        <v>22</v>
      </c>
      <c r="W94" s="168" t="s">
        <v>22</v>
      </c>
      <c r="X94" s="168" t="s">
        <v>22</v>
      </c>
      <c r="Y94" s="168" t="s">
        <v>22</v>
      </c>
      <c r="Z94" s="171" t="s">
        <v>22</v>
      </c>
      <c r="AA94" s="168" t="s">
        <v>22</v>
      </c>
    </row>
    <row r="95" spans="12:27" x14ac:dyDescent="0.25">
      <c r="L95" s="223"/>
      <c r="M95" s="48">
        <v>36</v>
      </c>
      <c r="N95" s="168">
        <v>34</v>
      </c>
      <c r="O95" s="168" t="s">
        <v>22</v>
      </c>
      <c r="P95" s="168" t="s">
        <v>22</v>
      </c>
      <c r="Q95" s="168" t="s">
        <v>22</v>
      </c>
      <c r="R95" s="168" t="s">
        <v>22</v>
      </c>
      <c r="S95" s="168" t="s">
        <v>22</v>
      </c>
      <c r="T95" s="168">
        <v>20</v>
      </c>
      <c r="U95" s="168">
        <v>21</v>
      </c>
      <c r="V95" s="168">
        <v>24</v>
      </c>
      <c r="W95" s="168" t="s">
        <v>22</v>
      </c>
      <c r="X95" s="168" t="s">
        <v>22</v>
      </c>
      <c r="Y95" s="168" t="s">
        <v>22</v>
      </c>
      <c r="Z95" s="171" t="s">
        <v>22</v>
      </c>
      <c r="AA95" s="168" t="s">
        <v>22</v>
      </c>
    </row>
    <row r="96" spans="12:27" x14ac:dyDescent="0.25">
      <c r="L96" s="223"/>
      <c r="M96" s="48">
        <v>38</v>
      </c>
      <c r="N96" s="168">
        <v>30</v>
      </c>
      <c r="O96" s="168" t="s">
        <v>22</v>
      </c>
      <c r="P96" s="168" t="s">
        <v>22</v>
      </c>
      <c r="Q96" s="168" t="s">
        <v>22</v>
      </c>
      <c r="R96" s="168" t="s">
        <v>22</v>
      </c>
      <c r="S96" s="168" t="s">
        <v>22</v>
      </c>
      <c r="T96" s="168">
        <v>18</v>
      </c>
      <c r="U96" s="168">
        <v>19</v>
      </c>
      <c r="V96" s="168">
        <v>23</v>
      </c>
      <c r="W96" s="168" t="s">
        <v>22</v>
      </c>
      <c r="X96" s="168" t="s">
        <v>22</v>
      </c>
      <c r="Y96" s="168" t="s">
        <v>22</v>
      </c>
      <c r="Z96" s="171" t="s">
        <v>22</v>
      </c>
      <c r="AA96" s="168" t="s">
        <v>22</v>
      </c>
    </row>
    <row r="97" spans="12:27" x14ac:dyDescent="0.25">
      <c r="L97" s="223"/>
      <c r="M97" s="48">
        <v>39</v>
      </c>
      <c r="N97" s="168">
        <v>18</v>
      </c>
      <c r="O97" s="168" t="s">
        <v>22</v>
      </c>
      <c r="P97" s="168" t="s">
        <v>22</v>
      </c>
      <c r="Q97" s="168" t="s">
        <v>22</v>
      </c>
      <c r="R97" s="168" t="s">
        <v>22</v>
      </c>
      <c r="S97" s="168" t="s">
        <v>22</v>
      </c>
      <c r="T97" s="168">
        <v>10</v>
      </c>
      <c r="U97" s="168">
        <v>11</v>
      </c>
      <c r="V97" s="168" t="s">
        <v>22</v>
      </c>
      <c r="W97" s="168" t="s">
        <v>22</v>
      </c>
      <c r="X97" s="168" t="s">
        <v>22</v>
      </c>
      <c r="Y97" s="168" t="s">
        <v>22</v>
      </c>
      <c r="Z97" s="171" t="s">
        <v>22</v>
      </c>
      <c r="AA97" s="168" t="s">
        <v>22</v>
      </c>
    </row>
    <row r="98" spans="12:27" x14ac:dyDescent="0.25">
      <c r="L98" s="223"/>
      <c r="M98" s="48">
        <v>40</v>
      </c>
      <c r="N98" s="168">
        <v>18</v>
      </c>
      <c r="O98" s="168" t="s">
        <v>22</v>
      </c>
      <c r="P98" s="168" t="s">
        <v>22</v>
      </c>
      <c r="Q98" s="168" t="s">
        <v>22</v>
      </c>
      <c r="R98" s="168" t="s">
        <v>22</v>
      </c>
      <c r="S98" s="168" t="s">
        <v>22</v>
      </c>
      <c r="T98" s="168">
        <v>10</v>
      </c>
      <c r="U98" s="168">
        <v>11</v>
      </c>
      <c r="V98" s="168" t="s">
        <v>22</v>
      </c>
      <c r="W98" s="168" t="s">
        <v>22</v>
      </c>
      <c r="X98" s="168" t="s">
        <v>22</v>
      </c>
      <c r="Y98" s="168" t="s">
        <v>22</v>
      </c>
      <c r="Z98" s="171" t="s">
        <v>22</v>
      </c>
      <c r="AA98" s="168" t="s">
        <v>22</v>
      </c>
    </row>
    <row r="99" spans="12:27" x14ac:dyDescent="0.25">
      <c r="L99" s="223"/>
      <c r="M99" s="48">
        <v>41</v>
      </c>
      <c r="N99" s="168">
        <v>17</v>
      </c>
      <c r="O99" s="168">
        <v>23</v>
      </c>
      <c r="P99" s="168" t="s">
        <v>22</v>
      </c>
      <c r="Q99" s="168" t="s">
        <v>22</v>
      </c>
      <c r="R99" s="168" t="s">
        <v>22</v>
      </c>
      <c r="S99" s="168" t="s">
        <v>22</v>
      </c>
      <c r="T99" s="168">
        <v>10</v>
      </c>
      <c r="U99" s="168">
        <v>14</v>
      </c>
      <c r="V99" s="168" t="s">
        <v>22</v>
      </c>
      <c r="W99" s="168" t="s">
        <v>22</v>
      </c>
      <c r="X99" s="168" t="s">
        <v>22</v>
      </c>
      <c r="Y99" s="168" t="s">
        <v>22</v>
      </c>
      <c r="Z99" s="171" t="s">
        <v>22</v>
      </c>
      <c r="AA99" s="168" t="s">
        <v>22</v>
      </c>
    </row>
    <row r="100" spans="12:27" x14ac:dyDescent="0.25">
      <c r="L100" s="223"/>
      <c r="M100" s="130">
        <v>42</v>
      </c>
      <c r="N100" s="170">
        <v>25</v>
      </c>
      <c r="O100" s="170">
        <v>26</v>
      </c>
      <c r="P100" s="170">
        <v>27</v>
      </c>
      <c r="Q100" s="170">
        <v>28</v>
      </c>
      <c r="R100" s="170">
        <v>30</v>
      </c>
      <c r="S100" s="170">
        <v>31</v>
      </c>
      <c r="T100" s="170">
        <v>18</v>
      </c>
      <c r="U100" s="170">
        <v>19</v>
      </c>
      <c r="V100" s="170">
        <v>20</v>
      </c>
      <c r="W100" s="170">
        <v>21</v>
      </c>
      <c r="X100" s="170">
        <v>22</v>
      </c>
      <c r="Y100" s="170">
        <v>23</v>
      </c>
      <c r="Z100" s="170">
        <v>24</v>
      </c>
      <c r="AA100" s="170">
        <v>33</v>
      </c>
    </row>
    <row r="101" spans="12:27" x14ac:dyDescent="0.25">
      <c r="L101" s="223"/>
      <c r="M101" s="130">
        <v>43</v>
      </c>
      <c r="N101" s="170">
        <v>25</v>
      </c>
      <c r="O101" s="170">
        <v>26</v>
      </c>
      <c r="P101" s="170">
        <v>27</v>
      </c>
      <c r="Q101" s="170">
        <v>28</v>
      </c>
      <c r="R101" s="170">
        <v>30</v>
      </c>
      <c r="S101" s="170">
        <v>31</v>
      </c>
      <c r="T101" s="170">
        <v>18</v>
      </c>
      <c r="U101" s="170">
        <v>19</v>
      </c>
      <c r="V101" s="170">
        <v>20</v>
      </c>
      <c r="W101" s="170">
        <v>21</v>
      </c>
      <c r="X101" s="170">
        <v>22</v>
      </c>
      <c r="Y101" s="170">
        <v>23</v>
      </c>
      <c r="Z101" s="170">
        <v>24</v>
      </c>
      <c r="AA101" s="170">
        <v>33</v>
      </c>
    </row>
    <row r="102" spans="12:27" x14ac:dyDescent="0.25">
      <c r="L102" s="223"/>
      <c r="M102" s="48" t="s">
        <v>138</v>
      </c>
      <c r="N102" s="168">
        <v>27</v>
      </c>
      <c r="O102" s="168">
        <v>30</v>
      </c>
      <c r="P102" s="168">
        <v>31</v>
      </c>
      <c r="Q102" s="168" t="s">
        <v>22</v>
      </c>
      <c r="R102" s="168" t="s">
        <v>22</v>
      </c>
      <c r="S102" s="168" t="s">
        <v>22</v>
      </c>
      <c r="T102" s="168">
        <v>18</v>
      </c>
      <c r="U102" s="168">
        <v>23</v>
      </c>
      <c r="V102" s="168" t="s">
        <v>22</v>
      </c>
      <c r="W102" s="168" t="s">
        <v>22</v>
      </c>
      <c r="X102" s="168" t="s">
        <v>22</v>
      </c>
      <c r="Y102" s="168" t="s">
        <v>22</v>
      </c>
      <c r="Z102" s="171" t="s">
        <v>22</v>
      </c>
      <c r="AA102" s="168" t="s">
        <v>22</v>
      </c>
    </row>
    <row r="103" spans="12:27" x14ac:dyDescent="0.25">
      <c r="L103" s="223"/>
      <c r="M103" s="48" t="s">
        <v>96</v>
      </c>
      <c r="N103" s="168">
        <v>30</v>
      </c>
      <c r="O103" s="168" t="s">
        <v>22</v>
      </c>
      <c r="P103" s="168" t="s">
        <v>22</v>
      </c>
      <c r="Q103" s="168" t="s">
        <v>22</v>
      </c>
      <c r="R103" s="168" t="s">
        <v>22</v>
      </c>
      <c r="S103" s="168" t="s">
        <v>22</v>
      </c>
      <c r="T103" s="168">
        <v>19</v>
      </c>
      <c r="U103" s="168">
        <v>23</v>
      </c>
      <c r="V103" s="168" t="s">
        <v>22</v>
      </c>
      <c r="W103" s="168" t="s">
        <v>22</v>
      </c>
      <c r="X103" s="168" t="s">
        <v>22</v>
      </c>
      <c r="Y103" s="168" t="s">
        <v>22</v>
      </c>
      <c r="Z103" s="171" t="s">
        <v>22</v>
      </c>
      <c r="AA103" s="168" t="s">
        <v>22</v>
      </c>
    </row>
    <row r="104" spans="12:27" x14ac:dyDescent="0.25">
      <c r="L104" s="223"/>
      <c r="M104" s="48" t="s">
        <v>97</v>
      </c>
      <c r="N104" s="168">
        <v>18</v>
      </c>
      <c r="O104" s="168">
        <v>27</v>
      </c>
      <c r="P104" s="168" t="s">
        <v>22</v>
      </c>
      <c r="Q104" s="168" t="s">
        <v>22</v>
      </c>
      <c r="R104" s="168" t="s">
        <v>22</v>
      </c>
      <c r="S104" s="168" t="s">
        <v>22</v>
      </c>
      <c r="T104" s="168">
        <v>10</v>
      </c>
      <c r="U104" s="168">
        <v>25</v>
      </c>
      <c r="V104" s="168" t="s">
        <v>22</v>
      </c>
      <c r="W104" s="168" t="s">
        <v>22</v>
      </c>
      <c r="X104" s="168" t="s">
        <v>22</v>
      </c>
      <c r="Y104" s="168" t="s">
        <v>22</v>
      </c>
      <c r="Z104" s="171" t="s">
        <v>22</v>
      </c>
      <c r="AA104" s="168" t="s">
        <v>22</v>
      </c>
    </row>
    <row r="105" spans="12:27" x14ac:dyDescent="0.25">
      <c r="L105" s="223"/>
      <c r="M105" s="48" t="s">
        <v>140</v>
      </c>
      <c r="N105" s="168">
        <v>17</v>
      </c>
      <c r="O105" s="168">
        <v>18</v>
      </c>
      <c r="P105" s="168">
        <v>19</v>
      </c>
      <c r="Q105" s="168" t="s">
        <v>22</v>
      </c>
      <c r="R105" s="168" t="s">
        <v>22</v>
      </c>
      <c r="S105" s="168" t="s">
        <v>22</v>
      </c>
      <c r="T105" s="168">
        <v>10</v>
      </c>
      <c r="U105" s="168">
        <v>14</v>
      </c>
      <c r="V105" s="168" t="s">
        <v>22</v>
      </c>
      <c r="W105" s="168" t="s">
        <v>22</v>
      </c>
      <c r="X105" s="168" t="s">
        <v>22</v>
      </c>
      <c r="Y105" s="168" t="s">
        <v>22</v>
      </c>
      <c r="Z105" s="171" t="s">
        <v>22</v>
      </c>
      <c r="AA105" s="168" t="s">
        <v>22</v>
      </c>
    </row>
    <row r="106" spans="12:27" x14ac:dyDescent="0.25">
      <c r="L106" s="223"/>
      <c r="M106" s="48" t="s">
        <v>98</v>
      </c>
      <c r="N106" s="168">
        <v>27</v>
      </c>
      <c r="O106" s="168">
        <v>30</v>
      </c>
      <c r="P106" s="168">
        <v>31</v>
      </c>
      <c r="Q106" s="168">
        <v>32</v>
      </c>
      <c r="R106" s="168" t="s">
        <v>22</v>
      </c>
      <c r="S106" s="168" t="s">
        <v>22</v>
      </c>
      <c r="T106" s="168">
        <v>18</v>
      </c>
      <c r="U106" s="168" t="s">
        <v>22</v>
      </c>
      <c r="V106" s="168" t="s">
        <v>22</v>
      </c>
      <c r="W106" s="168" t="s">
        <v>22</v>
      </c>
      <c r="X106" s="168" t="s">
        <v>22</v>
      </c>
      <c r="Y106" s="168" t="s">
        <v>22</v>
      </c>
      <c r="Z106" s="171" t="s">
        <v>22</v>
      </c>
      <c r="AA106" s="168" t="s">
        <v>22</v>
      </c>
    </row>
    <row r="107" spans="12:27" x14ac:dyDescent="0.25">
      <c r="L107" s="223"/>
      <c r="M107" s="48" t="s">
        <v>141</v>
      </c>
      <c r="N107" s="168">
        <v>25</v>
      </c>
      <c r="O107" s="168">
        <v>27</v>
      </c>
      <c r="P107" s="168" t="s">
        <v>22</v>
      </c>
      <c r="Q107" s="168" t="s">
        <v>22</v>
      </c>
      <c r="R107" s="168" t="s">
        <v>22</v>
      </c>
      <c r="S107" s="168" t="s">
        <v>22</v>
      </c>
      <c r="T107" s="168">
        <v>10</v>
      </c>
      <c r="U107" s="168">
        <v>11</v>
      </c>
      <c r="V107" s="168">
        <v>14</v>
      </c>
      <c r="W107" s="168">
        <v>15</v>
      </c>
      <c r="X107" s="168">
        <v>33</v>
      </c>
      <c r="Y107" s="168" t="s">
        <v>22</v>
      </c>
      <c r="Z107" s="171" t="s">
        <v>22</v>
      </c>
      <c r="AA107" s="168" t="s">
        <v>22</v>
      </c>
    </row>
    <row r="108" spans="12:27" x14ac:dyDescent="0.25">
      <c r="L108" s="223"/>
      <c r="M108" s="48" t="s">
        <v>99</v>
      </c>
      <c r="N108" s="168">
        <v>17</v>
      </c>
      <c r="O108" s="168">
        <v>18</v>
      </c>
      <c r="P108" s="168">
        <v>19</v>
      </c>
      <c r="Q108" s="168">
        <v>30</v>
      </c>
      <c r="R108" s="168" t="s">
        <v>22</v>
      </c>
      <c r="S108" s="168" t="s">
        <v>22</v>
      </c>
      <c r="T108" s="168">
        <v>10</v>
      </c>
      <c r="U108" s="168">
        <v>14</v>
      </c>
      <c r="V108" s="168" t="s">
        <v>22</v>
      </c>
      <c r="W108" s="168" t="s">
        <v>22</v>
      </c>
      <c r="X108" s="168" t="s">
        <v>22</v>
      </c>
      <c r="Y108" s="168" t="s">
        <v>22</v>
      </c>
      <c r="Z108" s="171" t="s">
        <v>22</v>
      </c>
      <c r="AA108" s="168" t="s">
        <v>22</v>
      </c>
    </row>
    <row r="109" spans="12:27" x14ac:dyDescent="0.25">
      <c r="L109" s="223"/>
      <c r="M109" s="48" t="s">
        <v>142</v>
      </c>
      <c r="N109" s="168">
        <v>31</v>
      </c>
      <c r="O109" s="168">
        <v>32</v>
      </c>
      <c r="P109" s="168">
        <v>27</v>
      </c>
      <c r="Q109" s="168" t="s">
        <v>22</v>
      </c>
      <c r="R109" s="168" t="s">
        <v>22</v>
      </c>
      <c r="S109" s="168" t="s">
        <v>22</v>
      </c>
      <c r="T109" s="168">
        <v>10</v>
      </c>
      <c r="U109" s="168">
        <v>14</v>
      </c>
      <c r="V109" s="168">
        <v>17</v>
      </c>
      <c r="W109" s="168">
        <v>18</v>
      </c>
      <c r="X109" s="168">
        <v>19</v>
      </c>
      <c r="Y109" s="168" t="s">
        <v>22</v>
      </c>
      <c r="Z109" s="171" t="s">
        <v>22</v>
      </c>
      <c r="AA109" s="168" t="s">
        <v>22</v>
      </c>
    </row>
    <row r="110" spans="12:27" x14ac:dyDescent="0.25">
      <c r="L110" s="223"/>
      <c r="M110" s="48"/>
      <c r="Y110" s="168"/>
      <c r="Z110" s="171"/>
    </row>
    <row r="111" spans="12:27" x14ac:dyDescent="0.25">
      <c r="L111" s="223"/>
    </row>
    <row r="112" spans="12:27" x14ac:dyDescent="0.25">
      <c r="M112" s="41" t="s">
        <v>60</v>
      </c>
    </row>
    <row r="113" spans="13:13" x14ac:dyDescent="0.25">
      <c r="M113" s="42" t="str" cm="1">
        <f t="array" ref="M113:M167">_xlfn._xlws.SORT(_xlfn._xlws.FILTER(Tabla1[Materia],Tabla1[HALLAR]))</f>
        <v>Administración General</v>
      </c>
    </row>
    <row r="114" spans="13:13" x14ac:dyDescent="0.25">
      <c r="M114" t="str">
        <v>Álgebra y Geometría Analítica</v>
      </c>
    </row>
    <row r="115" spans="13:13" x14ac:dyDescent="0.25">
      <c r="M115" t="str">
        <v>Análisis De Datos 1</v>
      </c>
    </row>
    <row r="116" spans="13:13" x14ac:dyDescent="0.25">
      <c r="M116" t="str">
        <v>Análisis Matemático 1</v>
      </c>
    </row>
    <row r="117" spans="13:13" x14ac:dyDescent="0.25">
      <c r="M117" t="str">
        <v>Análisis Matemático 2</v>
      </c>
    </row>
    <row r="118" spans="13:13" x14ac:dyDescent="0.25">
      <c r="M118" t="str">
        <v>Análisis Numérico y Cálculo Avanzado</v>
      </c>
    </row>
    <row r="119" spans="13:13" x14ac:dyDescent="0.25">
      <c r="M119" t="str">
        <v>Ciencias de los Materiales</v>
      </c>
    </row>
    <row r="120" spans="13:13" x14ac:dyDescent="0.25">
      <c r="M120" t="str">
        <v>CNH CÁTEDRA IN STU</v>
      </c>
    </row>
    <row r="121" spans="13:13" x14ac:dyDescent="0.25">
      <c r="M121" t="str">
        <v>Coaching de Formadores</v>
      </c>
    </row>
    <row r="122" spans="13:13" x14ac:dyDescent="0.25">
      <c r="M122" t="str">
        <v>Comercialización</v>
      </c>
    </row>
    <row r="123" spans="13:13" x14ac:dyDescent="0.25">
      <c r="M123" t="str">
        <v>Comercio Exterior</v>
      </c>
    </row>
    <row r="124" spans="13:13" x14ac:dyDescent="0.25">
      <c r="M124" t="str">
        <v>Control de Gestión</v>
      </c>
    </row>
    <row r="125" spans="13:13" x14ac:dyDescent="0.25">
      <c r="M125" t="str">
        <v>Costos y Presupuestos</v>
      </c>
    </row>
    <row r="126" spans="13:13" x14ac:dyDescent="0.25">
      <c r="M126" t="str">
        <v>Diseño de Producto</v>
      </c>
    </row>
    <row r="127" spans="13:13" x14ac:dyDescent="0.25">
      <c r="M127" t="str">
        <v>Economía de la Empresa</v>
      </c>
    </row>
    <row r="128" spans="13:13" x14ac:dyDescent="0.25">
      <c r="M128" t="str">
        <v>Economía General</v>
      </c>
    </row>
    <row r="129" spans="13:13" x14ac:dyDescent="0.25">
      <c r="M129" t="str">
        <v>Electrotecnia y Máquinas Eléctricas</v>
      </c>
    </row>
    <row r="130" spans="13:13" x14ac:dyDescent="0.25">
      <c r="M130" t="str">
        <v>Energías Renovables</v>
      </c>
    </row>
    <row r="131" spans="13:13" x14ac:dyDescent="0.25">
      <c r="M131" t="str">
        <v>Estática y Resistencia de los Materiales</v>
      </c>
    </row>
    <row r="132" spans="13:13" x14ac:dyDescent="0.25">
      <c r="M132" t="str">
        <v>Estudio del Trabajo</v>
      </c>
    </row>
    <row r="133" spans="13:13" x14ac:dyDescent="0.25">
      <c r="M133" t="str">
        <v>Evaluación de Proyectos</v>
      </c>
    </row>
    <row r="134" spans="13:13" x14ac:dyDescent="0.25">
      <c r="M134" t="str">
        <v>Física 1</v>
      </c>
    </row>
    <row r="135" spans="13:13" x14ac:dyDescent="0.25">
      <c r="M135" t="str">
        <v>Física 2</v>
      </c>
    </row>
    <row r="136" spans="13:13" x14ac:dyDescent="0.25">
      <c r="M136" t="str">
        <v>Gestión Ambiental</v>
      </c>
    </row>
    <row r="137" spans="13:13" x14ac:dyDescent="0.25">
      <c r="M137" t="str">
        <v>Gestión de Proyectos</v>
      </c>
    </row>
    <row r="138" spans="13:13" x14ac:dyDescent="0.25">
      <c r="M138" t="str">
        <v>Gestión del Conocimiento, la Innovación y Economía Crítica</v>
      </c>
    </row>
    <row r="139" spans="13:13" x14ac:dyDescent="0.25">
      <c r="M139" t="str">
        <v>Gestión Emprendedora</v>
      </c>
    </row>
    <row r="140" spans="13:13" x14ac:dyDescent="0.25">
      <c r="M140" t="str">
        <v>Informática 1</v>
      </c>
    </row>
    <row r="141" spans="13:13" x14ac:dyDescent="0.25">
      <c r="M141" t="str">
        <v>Informática 2</v>
      </c>
    </row>
    <row r="142" spans="13:13" x14ac:dyDescent="0.25">
      <c r="M142" t="str">
        <v>Ingeniería en Calidad</v>
      </c>
    </row>
    <row r="143" spans="13:13" x14ac:dyDescent="0.25">
      <c r="M143" t="str">
        <v>Ingeniería y Sociedad</v>
      </c>
    </row>
    <row r="144" spans="13:13" x14ac:dyDescent="0.25">
      <c r="M144" t="str">
        <v>Inglés 1</v>
      </c>
    </row>
    <row r="145" spans="13:25" x14ac:dyDescent="0.25">
      <c r="M145" t="str">
        <v>Inglés 2</v>
      </c>
    </row>
    <row r="146" spans="13:25" x14ac:dyDescent="0.25">
      <c r="M146" t="str">
        <v>Instalaciones Industriales</v>
      </c>
    </row>
    <row r="147" spans="13:25" x14ac:dyDescent="0.25">
      <c r="M147" t="str">
        <v>Investigación Operativa</v>
      </c>
    </row>
    <row r="148" spans="13:25" x14ac:dyDescent="0.25">
      <c r="M148" t="str">
        <v>Legislación</v>
      </c>
    </row>
    <row r="149" spans="13:25" x14ac:dyDescent="0.25">
      <c r="M149" t="str">
        <v>Logística</v>
      </c>
    </row>
    <row r="150" spans="13:25" x14ac:dyDescent="0.25">
      <c r="M150" t="str">
        <v>Manejo de Materiales y Distribución de Planta</v>
      </c>
    </row>
    <row r="151" spans="13:25" x14ac:dyDescent="0.25">
      <c r="M151" t="str">
        <v>Mantenimiento</v>
      </c>
    </row>
    <row r="152" spans="13:25" x14ac:dyDescent="0.25">
      <c r="M152" t="str">
        <v>Mecánica de los Fluidos</v>
      </c>
    </row>
    <row r="153" spans="13:25" x14ac:dyDescent="0.25">
      <c r="M153" t="str">
        <v>Mecánica y Mecanismos</v>
      </c>
    </row>
    <row r="154" spans="13:25" x14ac:dyDescent="0.25">
      <c r="M154" t="str">
        <v>Pensamiento Sistémico</v>
      </c>
      <c r="Y154" s="168"/>
    </row>
    <row r="155" spans="13:25" x14ac:dyDescent="0.25">
      <c r="M155" t="str">
        <v>Planificación y Control de la Producción</v>
      </c>
      <c r="Y155" s="168"/>
    </row>
    <row r="156" spans="13:25" x14ac:dyDescent="0.25">
      <c r="M156" t="str">
        <v>Política Económica</v>
      </c>
      <c r="Y156" s="168"/>
    </row>
    <row r="157" spans="13:25" x14ac:dyDescent="0.25">
      <c r="M157" t="str">
        <v>Práctica profesional Supervisada</v>
      </c>
      <c r="Y157" s="168"/>
    </row>
    <row r="158" spans="13:25" x14ac:dyDescent="0.25">
      <c r="M158" t="str">
        <v>Probabilidad y Estadística</v>
      </c>
      <c r="Y158" s="168"/>
    </row>
    <row r="159" spans="13:25" x14ac:dyDescent="0.25">
      <c r="M159" t="str">
        <v>Procesos Industriales</v>
      </c>
      <c r="Y159" s="168"/>
    </row>
    <row r="160" spans="13:25" x14ac:dyDescent="0.25">
      <c r="M160" t="str">
        <v>Proyecto Final</v>
      </c>
      <c r="Y160" s="168"/>
    </row>
    <row r="161" spans="13:27" x14ac:dyDescent="0.25">
      <c r="M161" t="str">
        <v>Química General</v>
      </c>
      <c r="Y161" s="168"/>
    </row>
    <row r="162" spans="13:27" x14ac:dyDescent="0.25">
      <c r="M162" t="str">
        <v>Relaciones Industriales</v>
      </c>
      <c r="Y162" s="168"/>
    </row>
    <row r="163" spans="13:27" x14ac:dyDescent="0.25">
      <c r="M163" t="str">
        <v>Seguridad, Higiene e Ingeniería Ambiental</v>
      </c>
      <c r="Y163" s="168"/>
    </row>
    <row r="164" spans="13:27" x14ac:dyDescent="0.25">
      <c r="M164" t="str">
        <v>Simulación</v>
      </c>
      <c r="Y164" s="168"/>
    </row>
    <row r="165" spans="13:27" x14ac:dyDescent="0.25">
      <c r="M165" t="str">
        <v>Sistemas de Representación</v>
      </c>
      <c r="Y165" s="168"/>
    </row>
    <row r="166" spans="13:27" x14ac:dyDescent="0.25">
      <c r="M166" t="str">
        <v>Sustentabilidad y Nuevas Economías</v>
      </c>
      <c r="Y166" s="168"/>
    </row>
    <row r="167" spans="13:27" x14ac:dyDescent="0.25">
      <c r="M167" t="str">
        <v>Termodinámica y Máquinas Térmicas</v>
      </c>
      <c r="Y167" s="168"/>
    </row>
    <row r="168" spans="13:27" x14ac:dyDescent="0.25">
      <c r="N168" s="169"/>
      <c r="O168" s="169"/>
      <c r="P168" s="169"/>
      <c r="Q168" s="169"/>
      <c r="S168" s="169"/>
    </row>
    <row r="169" spans="13:27" x14ac:dyDescent="0.25">
      <c r="N169" s="169"/>
      <c r="O169" s="169"/>
      <c r="P169" s="169"/>
      <c r="Q169" s="169"/>
      <c r="S169" s="169"/>
    </row>
    <row r="170" spans="13:27" x14ac:dyDescent="0.25">
      <c r="N170" s="169"/>
      <c r="O170" s="169"/>
      <c r="P170" s="169"/>
      <c r="Q170" s="169"/>
      <c r="S170" s="169"/>
    </row>
    <row r="171" spans="13:27" x14ac:dyDescent="0.25">
      <c r="N171" s="169"/>
      <c r="O171" s="169"/>
      <c r="P171" s="169"/>
      <c r="Q171" s="169"/>
      <c r="S171" s="169"/>
    </row>
    <row r="172" spans="13:27" x14ac:dyDescent="0.25">
      <c r="N172" s="169"/>
      <c r="O172" s="169"/>
      <c r="P172" s="169"/>
      <c r="Q172" s="169"/>
      <c r="S172" s="169"/>
    </row>
    <row r="173" spans="13:27" x14ac:dyDescent="0.25"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</row>
    <row r="174" spans="13:27" x14ac:dyDescent="0.25"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</row>
    <row r="175" spans="13:27" x14ac:dyDescent="0.25"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</row>
    <row r="176" spans="13:27" x14ac:dyDescent="0.25"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</row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301" spans="16:19" x14ac:dyDescent="0.25">
      <c r="P301" s="169"/>
      <c r="Q301" s="169"/>
      <c r="R301" s="169"/>
      <c r="S301" s="169"/>
    </row>
    <row r="302" spans="16:19" x14ac:dyDescent="0.25">
      <c r="P302" s="169"/>
      <c r="Q302" s="169"/>
      <c r="R302" s="169"/>
      <c r="S302" s="169"/>
    </row>
    <row r="303" spans="16:19" x14ac:dyDescent="0.25">
      <c r="P303" s="169"/>
      <c r="Q303" s="169"/>
      <c r="R303" s="169"/>
      <c r="S303" s="169"/>
    </row>
    <row r="304" spans="16:19" x14ac:dyDescent="0.25">
      <c r="P304" s="169"/>
      <c r="Q304" s="169"/>
      <c r="R304" s="169"/>
      <c r="S304" s="169"/>
    </row>
    <row r="305" spans="16:19" x14ac:dyDescent="0.25">
      <c r="P305" s="169"/>
      <c r="Q305" s="169"/>
      <c r="R305" s="169"/>
      <c r="S305" s="169"/>
    </row>
    <row r="306" spans="16:19" x14ac:dyDescent="0.25">
      <c r="P306" s="169"/>
      <c r="Q306" s="169"/>
      <c r="R306" s="169"/>
      <c r="S306" s="169"/>
    </row>
    <row r="307" spans="16:19" x14ac:dyDescent="0.25">
      <c r="P307" s="169"/>
      <c r="Q307" s="169"/>
      <c r="R307" s="169"/>
      <c r="S307" s="169"/>
    </row>
    <row r="308" spans="16:19" x14ac:dyDescent="0.25">
      <c r="P308" s="169"/>
      <c r="Q308" s="169"/>
      <c r="R308" s="169"/>
      <c r="S308" s="169"/>
    </row>
    <row r="309" spans="16:19" x14ac:dyDescent="0.25">
      <c r="P309" s="169"/>
      <c r="Q309" s="169"/>
      <c r="R309" s="169"/>
      <c r="S309" s="169"/>
    </row>
    <row r="310" spans="16:19" x14ac:dyDescent="0.25">
      <c r="P310" s="169"/>
      <c r="Q310" s="169"/>
      <c r="R310" s="169"/>
      <c r="S310" s="169"/>
    </row>
    <row r="311" spans="16:19" x14ac:dyDescent="0.25">
      <c r="P311" s="169"/>
      <c r="Q311" s="169"/>
      <c r="R311" s="169"/>
      <c r="S311" s="169"/>
    </row>
    <row r="312" spans="16:19" x14ac:dyDescent="0.25">
      <c r="P312" s="169"/>
      <c r="Q312" s="169"/>
      <c r="R312" s="169"/>
      <c r="S312" s="169"/>
    </row>
  </sheetData>
  <sheetProtection sort="0" autoFilter="0"/>
  <mergeCells count="19">
    <mergeCell ref="G7:H7"/>
    <mergeCell ref="G8:H8"/>
    <mergeCell ref="G9:H9"/>
    <mergeCell ref="G6:H6"/>
    <mergeCell ref="B30:C30"/>
    <mergeCell ref="B11:E13"/>
    <mergeCell ref="B2:E4"/>
    <mergeCell ref="I15:J16"/>
    <mergeCell ref="D15:E16"/>
    <mergeCell ref="D27:E28"/>
    <mergeCell ref="G11:J13"/>
    <mergeCell ref="B23:E25"/>
    <mergeCell ref="G2:J4"/>
    <mergeCell ref="I9:J9"/>
    <mergeCell ref="I6:J6"/>
    <mergeCell ref="G23:H25"/>
    <mergeCell ref="I23:J25"/>
    <mergeCell ref="I7:J7"/>
    <mergeCell ref="I8:J8"/>
  </mergeCells>
  <phoneticPr fontId="8" type="noConversion"/>
  <conditionalFormatting sqref="D15">
    <cfRule type="colorScale" priority="7">
      <colorScale>
        <cfvo type="num" val="0"/>
        <cfvo type="num" val="12"/>
        <cfvo type="num" val="25"/>
        <color theme="9"/>
        <color rgb="FFFFEB84"/>
        <color rgb="FFF30B11"/>
      </colorScale>
    </cfRule>
  </conditionalFormatting>
  <conditionalFormatting sqref="I15">
    <cfRule type="colorScale" priority="9">
      <colorScale>
        <cfvo type="num" val="0"/>
        <cfvo type="num" val="21"/>
        <cfvo type="num" val="43"/>
        <color theme="9"/>
        <color rgb="FFFFEB84"/>
        <color rgb="FFF30B11"/>
      </colorScale>
    </cfRule>
  </conditionalFormatting>
  <conditionalFormatting sqref="I6">
    <cfRule type="colorScale" priority="4">
      <colorScale>
        <cfvo type="num" val="0"/>
        <cfvo type="num" val="5"/>
        <cfvo type="num" val="10"/>
        <color rgb="FFF30B11"/>
        <color rgb="FFFFEB84"/>
        <color theme="9"/>
      </colorScale>
    </cfRule>
  </conditionalFormatting>
  <conditionalFormatting sqref="B32:B34 B19:B21 G19:G21">
    <cfRule type="iconSet" priority="195">
      <iconSet iconSet="3Symbols2" showValue="0">
        <cfvo type="percent" val="0"/>
        <cfvo type="num" val="1"/>
        <cfvo type="num" val="2"/>
      </iconSet>
    </cfRule>
  </conditionalFormatting>
  <conditionalFormatting sqref="P3">
    <cfRule type="iconSet" priority="2">
      <iconSet iconSet="3Symbols2" showValue="0">
        <cfvo type="percent" val="0"/>
        <cfvo type="num" val="1"/>
        <cfvo type="num" val="2"/>
      </iconSet>
    </cfRule>
  </conditionalFormatting>
  <conditionalFormatting sqref="P4">
    <cfRule type="iconSet" priority="290">
      <iconSet iconSet="3Symbols2" showValue="0">
        <cfvo type="percent" val="0"/>
        <cfvo type="num" val="1"/>
        <cfvo type="num" val="2"/>
      </iconSet>
    </cfRule>
  </conditionalFormatting>
  <conditionalFormatting sqref="B7:B9">
    <cfRule type="iconSet" priority="1">
      <iconSet iconSet="3Symbols2" showValue="0">
        <cfvo type="percent" val="0"/>
        <cfvo type="num" val="1"/>
        <cfvo type="num" val="2"/>
      </iconSet>
    </cfRule>
  </conditionalFormatting>
  <dataValidations disablePrompts="1" count="6">
    <dataValidation allowBlank="1" showInputMessage="1" showErrorMessage="1" promptTitle="Id. de empleado" prompt="Escriba un id. único para cada empleado." sqref="B48" xr:uid="{42AC6862-DDC3-446A-86A6-343ABF984E2C}"/>
    <dataValidation allowBlank="1" showInputMessage="1" showErrorMessage="1" promptTitle="Título" prompt="Se mostrará el cargo o rol del empleado en la forma." sqref="D48" xr:uid="{94D2954F-AEBE-4B33-AC05-529B2F55D164}"/>
    <dataValidation allowBlank="1" showInputMessage="1" showErrorMessage="1" promptTitle="Id. de administrador" prompt="Especifique el identificador de empleado del administrador. Este identificador debe estar presente en la columna de ID de empleado." sqref="E47" xr:uid="{1FBE312D-2A67-423B-8A9B-2A25BF4416F1}"/>
    <dataValidation allowBlank="1" showInputMessage="1" showErrorMessage="1" promptTitle="Tipo de rol" prompt="Elija la función que mejor represente al empleado. Esto cambia el color de la forma." sqref="F48" xr:uid="{D1A2C0C7-7C46-4F1F-BD66-12E683D1259A}"/>
    <dataValidation type="list" allowBlank="1" showInputMessage="1" sqref="F47" xr:uid="{7FCA5312-155A-4DC1-8A18-CA82A6DC1232}">
      <formula1>"Proceso, Decisión, Subproceso, Iniciar, Fin, Documento, Datos, Base de datos, Datos externos, Referencia en página, Referencia a otra página, Personalizado 1, Personalizado 2, Personalizado 3, Personalizado 4"</formula1>
    </dataValidation>
    <dataValidation type="list" allowBlank="1" showInputMessage="1" sqref="F47" xr:uid="{FF2E56C7-8A37-4CDB-8630-3B72767BB7D2}">
      <formula1>"Ejecutivo, Administrador, Posición, Asistente, Plantilla, Consultor, Vacante"</formula1>
    </dataValidation>
  </dataValidations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B45450F-F3FB-4642-89F2-E54C439B30E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6</vt:i4>
      </vt:variant>
    </vt:vector>
  </HeadingPairs>
  <TitlesOfParts>
    <vt:vector size="8" baseType="lpstr">
      <vt:lpstr>Plan de Estudio</vt:lpstr>
      <vt:lpstr>Control</vt:lpstr>
      <vt:lpstr>_anio_ingreso</vt:lpstr>
      <vt:lpstr>_cmb_lista_materias</vt:lpstr>
      <vt:lpstr>_excepcion</vt:lpstr>
      <vt:lpstr>_Tabla_Materias</vt:lpstr>
      <vt:lpstr>_tabla_tipo_materia</vt:lpstr>
      <vt:lpstr>Modalidades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Giuliano Benicio Charra Marquez</dc:creator>
  <cp:lastModifiedBy>Giuliano Benicio Charra Marquez</cp:lastModifiedBy>
  <cp:lastPrinted>2025-03-10T03:55:52Z</cp:lastPrinted>
  <dcterms:created xsi:type="dcterms:W3CDTF">2015-06-05T18:19:34Z</dcterms:created>
  <dcterms:modified xsi:type="dcterms:W3CDTF">2025-04-13T03:26:11Z</dcterms:modified>
</cp:coreProperties>
</file>